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uofwaterloo.sharepoint.com/sites/tm-class-cs858fall2026-1288940/Shared Documents/General/"/>
    </mc:Choice>
  </mc:AlternateContent>
  <xr:revisionPtr revIDLastSave="657" documentId="8_{7B00ECBC-9DD7-47C4-9AE4-63B091A27B90}" xr6:coauthVersionLast="47" xr6:coauthVersionMax="47" xr10:uidLastSave="{AF040329-5BAE-4E12-B522-E341EFE3327B}"/>
  <bookViews>
    <workbookView xWindow="10020" yWindow="710" windowWidth="39470" windowHeight="18260" xr2:uid="{6F863C8A-79D8-4B5A-A417-1FF5EC5E90B4}"/>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 l="1"/>
  <c r="A13" i="1" s="1"/>
  <c r="A17" i="1" s="1"/>
  <c r="A21" i="1" s="1"/>
  <c r="A23" i="1" s="1"/>
  <c r="A29" i="1" s="1"/>
  <c r="A7" i="1"/>
  <c r="A11" i="1" s="1"/>
  <c r="A15" i="1" s="1"/>
  <c r="A19" i="1" s="1"/>
  <c r="A22" i="1" s="1"/>
  <c r="A25" i="1" s="1"/>
  <c r="A31" i="1" s="1"/>
  <c r="B9" i="1"/>
  <c r="B11" i="1" s="1"/>
  <c r="B13" i="1" s="1"/>
  <c r="B15" i="1" s="1"/>
  <c r="B17" i="1" s="1"/>
  <c r="B19" i="1" s="1"/>
  <c r="B23" i="1" s="1"/>
  <c r="B25" i="1" s="1"/>
  <c r="B27" i="1" s="1"/>
  <c r="B29" i="1" s="1"/>
  <c r="B31" i="1" s="1"/>
  <c r="B33" i="1" s="1"/>
  <c r="B35" i="1" s="1"/>
  <c r="B37" i="1" s="1"/>
  <c r="B39" i="1" s="1"/>
  <c r="B42" i="1" s="1"/>
  <c r="B44" i="1" s="1"/>
  <c r="B46" i="1" s="1"/>
  <c r="B48" i="1" s="1"/>
  <c r="B50" i="1" s="1"/>
  <c r="B52" i="1" s="1"/>
  <c r="B54" i="1" s="1"/>
  <c r="B56" i="1" s="1"/>
  <c r="A33" i="1" l="1"/>
  <c r="A37" i="1" s="1"/>
  <c r="A42" i="1" s="1"/>
  <c r="A46" i="1" s="1"/>
  <c r="A50" i="1" s="1"/>
  <c r="A54" i="1" s="1"/>
  <c r="A35" i="1" l="1"/>
  <c r="A39" i="1" s="1"/>
  <c r="A44" i="1" s="1"/>
  <c r="A48" i="1" s="1"/>
  <c r="A52" i="1" s="1"/>
</calcChain>
</file>

<file path=xl/sharedStrings.xml><?xml version="1.0" encoding="utf-8"?>
<sst xmlns="http://schemas.openxmlformats.org/spreadsheetml/2006/main" count="152" uniqueCount="130">
  <si>
    <t>Choose two papers (one as presenter and one as discussion leader). Enter your name in the row for the selected papers. Make sure not to overwrite or clobber someone else's name</t>
  </si>
  <si>
    <t>Date</t>
  </si>
  <si>
    <t>Paper #</t>
  </si>
  <si>
    <t>Assigned paper</t>
  </si>
  <si>
    <t>Presenter</t>
  </si>
  <si>
    <t>Discussion Leader</t>
  </si>
  <si>
    <t>Theme</t>
  </si>
  <si>
    <t>Topic</t>
  </si>
  <si>
    <t>Additional readings</t>
  </si>
  <si>
    <t>N/A</t>
  </si>
  <si>
    <t>Intro to course</t>
  </si>
  <si>
    <t>N. Asokan</t>
  </si>
  <si>
    <t>Course overview</t>
  </si>
  <si>
    <t>ML Intro</t>
  </si>
  <si>
    <t>Asim Waheed</t>
  </si>
  <si>
    <t>Lune (Research Companion)</t>
  </si>
  <si>
    <t>Tony He</t>
  </si>
  <si>
    <r>
      <t xml:space="preserve">Part 1 </t>
    </r>
    <r>
      <rPr>
        <b/>
        <sz val="12"/>
        <color theme="1"/>
        <rFont val="Arial"/>
        <family val="2"/>
      </rPr>
      <t>Risks to trustworthiness in ML</t>
    </r>
  </si>
  <si>
    <t>Towards Deep Learning Models Resistant to Adversarial Attacks</t>
  </si>
  <si>
    <t>Prach</t>
  </si>
  <si>
    <t>Thien-Dan Balsdon</t>
  </si>
  <si>
    <t>Inference-Time Integrity of Model Behavior</t>
  </si>
  <si>
    <t>Adversarial Robustness of Classification Models</t>
  </si>
  <si>
    <t>Explaining and Harnessing Adversarial Examples</t>
  </si>
  <si>
    <t>Reliable evaluation of adversarial robustness with an ensemble of diverse parameter-free attacks</t>
  </si>
  <si>
    <t>Jailbroken: How Does LLM Safety Training Fail?</t>
  </si>
  <si>
    <t>Aaron Grace</t>
  </si>
  <si>
    <t>Jacob Youssef</t>
  </si>
  <si>
    <t>Jailbreaking LLMs</t>
  </si>
  <si>
    <t>Universal and Transferable Adversarial Attacks on Aligned Language Models</t>
  </si>
  <si>
    <t>Jailbreaking Black Box Large Language Models in Twenty Queries</t>
  </si>
  <si>
    <t>Not What You've Signed Up For: Compromising Real-World LLM-Integrated Applications with Indirect Prompt Injection</t>
  </si>
  <si>
    <t>Indirect Prompt Injection in AI Agents</t>
  </si>
  <si>
    <t>InjecAgent: Benchmarking Indirect Prompt Injections in Tool-Integrated LLM Agents</t>
  </si>
  <si>
    <t>Formalizing and Benchmarking Prompt Injection Attacks and Defenses</t>
  </si>
  <si>
    <t>Safety Alignment Should Be Made More Than Just a Few Tokens Deep</t>
  </si>
  <si>
    <t>Aabira Zaman</t>
  </si>
  <si>
    <t>Shu Cong</t>
  </si>
  <si>
    <t>Safety Alignment and Guardrails</t>
  </si>
  <si>
    <t>Llama Guard: LLM-based Input-Output Safeguard for Human-AI Conversations</t>
  </si>
  <si>
    <t>SecAlign: Defending Against Prompt Injection with Preference Optimization</t>
  </si>
  <si>
    <t>Membership Inference Attacks From First Principles</t>
  </si>
  <si>
    <t>Ahmad Ashraf</t>
  </si>
  <si>
    <t>Training-Data Memorization and Leakage</t>
  </si>
  <si>
    <t>Membership Inference Attacks</t>
  </si>
  <si>
    <t>Membership Inference Attacks Against Machine Learning Models</t>
  </si>
  <si>
    <t>Detecting Pretraining Data from Large Language Models</t>
  </si>
  <si>
    <t>Extracting Training Data from Large Language Models</t>
  </si>
  <si>
    <t>Aakanksha Khandwaha</t>
  </si>
  <si>
    <t>Castor Shem</t>
  </si>
  <si>
    <t>Training-data Extraction from LLMs</t>
  </si>
  <si>
    <t>Scalable Extraction of Training Data from (Production) Language Models</t>
  </si>
  <si>
    <t>Extracting Training Data from Diffusion Models</t>
  </si>
  <si>
    <t>Deep Learning with Differential Privacy</t>
  </si>
  <si>
    <t>Differential Privacy in ML</t>
  </si>
  <si>
    <t>Evaluating Differentially Private Machine Learning in Practice</t>
  </si>
  <si>
    <t>Large Language Models Can Be Strong Differentially Private Learners</t>
  </si>
  <si>
    <t>No class (reading week)</t>
  </si>
  <si>
    <t>Knowledge Unlearning for Mitigating Privacy Risks in Language Models</t>
  </si>
  <si>
    <t>Unlearning for Generative AI</t>
  </si>
  <si>
    <t>Erasing Concepts from Diffusion Models</t>
  </si>
  <si>
    <t>TOFU: A Task of Fictitious Unlearning for LLMs</t>
  </si>
  <si>
    <t>Knockoff Nets: Stealing Functionality of Black-Box Models</t>
  </si>
  <si>
    <t>Dominik Luszczynski</t>
  </si>
  <si>
    <t>Sarina Heshmati</t>
  </si>
  <si>
    <t>Model Extraction and Distillation</t>
  </si>
  <si>
    <t>Model Extraction / Stealing</t>
  </si>
  <si>
    <t>High Accuracy and High Fidelity Extraction of Neural Networks</t>
  </si>
  <si>
    <t>Stealing Part of a Production Language Model</t>
  </si>
  <si>
    <t>DAWN: Dynamic Adversarial Watermarking of Neural Networks</t>
  </si>
  <si>
    <t>Model Watermarking / Fingerprinting</t>
  </si>
  <si>
    <t>False Claims against Model Ownership Resolution</t>
  </si>
  <si>
    <t>Can LLM Watermarks Robustly Prevent Unauthorized Knowledge Distillation?</t>
  </si>
  <si>
    <t>Neural Cleanse: Identifying and Mitigating Backdoor Attacks in Neural Networks</t>
  </si>
  <si>
    <t>Md Rezwanul Haque</t>
  </si>
  <si>
    <t>Data Integrity and Supply-Chain Security</t>
  </si>
  <si>
    <t>Training-data Poisoning</t>
  </si>
  <si>
    <t>BadNets: Identifying Vulnerabilities in the Machine Learning Model Supply Chain</t>
  </si>
  <si>
    <t>Poisoning Language Models During Instruction Tuning</t>
  </si>
  <si>
    <t>PoisonedRAG: Knowledge Corruption Attacks to Retrieval-Augmented Generation of Large Language Models</t>
  </si>
  <si>
    <t>Preference Manipulation / RAG Poisoning</t>
  </si>
  <si>
    <t>Adversarial Search Engine Optimization for Large Language Models</t>
  </si>
  <si>
    <t>Certifiably Robust RAG against Retrieval Corruption</t>
  </si>
  <si>
    <t>What Makes and Breaks Safety Fine-tuning? A Mechanistic Study</t>
  </si>
  <si>
    <t>Xiaoxi Luo</t>
  </si>
  <si>
    <t>Cross-Cutting Topics</t>
  </si>
  <si>
    <t>Mechanistic Interpretability for AI safety</t>
  </si>
  <si>
    <t>The Geometry of Refusal in Large Language Models: Concept Cones and Representational Independence</t>
  </si>
  <si>
    <t>Improving Alignment and Robustness with Circuit Breakers</t>
  </si>
  <si>
    <t>SoK: Unintended Interactions among Machine Learning Defenses and Risks</t>
  </si>
  <si>
    <t>Kath Choi</t>
  </si>
  <si>
    <t>Unintended Interactions among ML Defenses and Risks</t>
  </si>
  <si>
    <t>Conflicting Interactions Among Protection Mechanisms for Machine Learning Models</t>
  </si>
  <si>
    <t>Combining Machine Learning Defenses without Conflicts</t>
  </si>
  <si>
    <t>A Watermark for Large Language Models</t>
  </si>
  <si>
    <t>Media Forensics and Proactive Provenance</t>
  </si>
  <si>
    <t>Tree-Ring Watermarks: Fingerprints for Diffusion Images that are Invisible and Robust</t>
  </si>
  <si>
    <t>Media Forensics and DeepFakes: An Overview</t>
  </si>
  <si>
    <t>Examining Zero-Shot Vulnerability Repair with Large Language Models</t>
  </si>
  <si>
    <t>AI for Cybersecurity</t>
  </si>
  <si>
    <t>LLM Agents can Autonomously Exploit One-day Vulnerabilities</t>
  </si>
  <si>
    <t>AI Agents Enable Adaptive Computer Worms</t>
  </si>
  <si>
    <t>Part 2 Software vs. Hardware defenses</t>
  </si>
  <si>
    <t>Secure Transformer Inference Made Non-interactive</t>
  </si>
  <si>
    <t>Leakage Resistance (Client Data)</t>
  </si>
  <si>
    <t>Software</t>
  </si>
  <si>
    <t>BumbleBee: Secure Two-party Inference Framework for Large Transformers</t>
  </si>
  <si>
    <t>BliMe: Verifiably Secure Outsourced Computation with Hardware-Enforced Taint Tracking</t>
  </si>
  <si>
    <t>Erjing Luo</t>
  </si>
  <si>
    <t>Hardware</t>
  </si>
  <si>
    <t>Origami Inference: Private Inference Using Hardware Enclaves</t>
  </si>
  <si>
    <t>Unlocking the Power of Differentially Private Zeroth-order Optimization for Fine-tuning LLMs</t>
  </si>
  <si>
    <t xml:space="preserve">Leakage Resistance (Training Data) </t>
  </si>
  <si>
    <t>PrivateFL: Accurate, Differentially Private Federated Learning via Personalized Data Transformation</t>
  </si>
  <si>
    <t>Local and Central Differential Privacy for Robustness and Privacy in Federated Learning</t>
  </si>
  <si>
    <t>No Privacy Left Outside: On the (In-)Security of TEE-Shielded DNN Partition for On-Device ML</t>
  </si>
  <si>
    <t>Slalom: Fast, Verifiable and Private Execution of Neural Networks in Trusted Hardware</t>
  </si>
  <si>
    <t>ModelGuard: Information-Theoretic Defense Against Model Extraction Attacks</t>
  </si>
  <si>
    <t xml:space="preserve">Model Theft Resistance (+ On-Device Private Inference) </t>
  </si>
  <si>
    <t>Beowulf: Mitigating Model Extraction Attacks Via Reshaping
Decision Regions</t>
  </si>
  <si>
    <t>ASGARD: Protecting On-Device Deep Neural Networks with Virtualization-Based Trusted Execution Environments</t>
  </si>
  <si>
    <t>ShadowNet: A Secure and Efficient On-device Model Inference System for Convolutional Neural Networks</t>
  </si>
  <si>
    <t>zkGPT: An Efficient Non-interactive Zero-knowledge Proof Framework for LLM Inference</t>
  </si>
  <si>
    <t xml:space="preserve">Regulatory Compliance </t>
  </si>
  <si>
    <t>Experimenting with Zero-Knowledge Proofs of Training</t>
  </si>
  <si>
    <t>Zero-Knowledge Proofs of Training for Deep Neural Networks</t>
  </si>
  <si>
    <t>PAL*M: Property Attestation for Large Generative Models</t>
  </si>
  <si>
    <t>Laminator: Verifiable ML Property Cards using Hardware-assisted Attestations</t>
  </si>
  <si>
    <t>Sentry: Authenticating Machine Learning Artifacts on the Fly</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</si>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</sst>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Aptos Narrow"/>
      <family val="2"/>
      <scheme val="minor"/>
    </font>
    <font>
      <sz val="11"/>
      <color rgb="FF9C0006"/>
      <name val="Aptos Narrow"/>
      <family val="2"/>
      <scheme val="minor"/>
    </font>
    <font>
      <b/>
      <sz val="11"/>
      <color theme="1"/>
      <name val="Aptos Narrow"/>
      <family val="2"/>
      <scheme val="minor"/>
    </font>
    <font>
      <u/>
      <sz val="11"/>
      <color theme="10"/>
      <name val="Aptos Narrow"/>
      <family val="2"/>
      <scheme val="minor"/>
    </font>
    <font>
      <b/>
      <i/>
      <u/>
      <sz val="14"/>
      <color theme="4"/>
      <name val="Aptos Narrow"/>
      <family val="2"/>
      <scheme val="minor"/>
    </font>
    <font>
      <b/>
      <sz val="11"/>
      <color theme="9"/>
      <name val="Aptos Narrow"/>
      <family val="2"/>
      <scheme val="minor"/>
    </font>
    <font>
      <b/>
      <sz val="11"/>
      <color theme="4"/>
      <name val="Aptos Narrow"/>
      <family val="2"/>
      <scheme val="minor"/>
    </font>
    <font>
      <i/>
      <sz val="11"/>
      <color theme="1"/>
      <name val="Aptos Narrow"/>
      <family val="2"/>
      <scheme val="minor"/>
    </font>
    <font>
      <sz val="11"/>
      <color theme="9"/>
      <name val="Aptos Narrow"/>
      <family val="2"/>
      <scheme val="minor"/>
    </font>
    <font>
      <sz val="11"/>
      <color theme="4"/>
      <name val="Aptos Narrow"/>
      <family val="2"/>
      <scheme val="minor"/>
    </font>
    <font>
      <b/>
      <sz val="11"/>
      <name val="Aptos Narrow"/>
      <family val="2"/>
      <scheme val="minor"/>
    </font>
    <font>
      <b/>
      <sz val="12"/>
      <color theme="1"/>
      <name val="Arial"/>
      <family val="2"/>
    </font>
    <font>
      <sz val="11"/>
      <color theme="1"/>
      <name val="Aptos Narrow"/>
      <scheme val="minor"/>
    </font>
    <font>
      <b/>
      <sz val="12"/>
      <color rgb="FF000000"/>
      <name val="Arial"/>
      <family val="2"/>
    </font>
    <font>
      <sz val="11"/>
      <color theme="1"/>
      <name val="Arial"/>
      <family val="2"/>
    </font>
    <font>
      <b/>
      <i/>
      <sz val="12"/>
      <color rgb="FFF7F8FA"/>
      <name val="Source Sans 3"/>
    </font>
    <font>
      <i/>
      <sz val="11"/>
      <color rgb="FFFF0000"/>
      <name val="Aptos Narrow"/>
      <family val="2"/>
      <scheme val="minor"/>
    </font>
    <font>
      <sz val="11"/>
      <color rgb="FF467886"/>
      <name val="Arial"/>
      <family val="2"/>
    </font>
    <font>
      <b/>
      <sz val="11"/>
      <color theme="1"/>
      <name val="Arial"/>
      <family val="2"/>
    </font>
    <font>
      <sz val="11"/>
      <color theme="10"/>
      <name val="Arial"/>
      <family val="2"/>
    </font>
    <font>
      <sz val="11"/>
      <name val="Arial"/>
      <family val="2"/>
    </font>
    <font>
      <b/>
      <u/>
      <sz val="11"/>
      <color theme="10"/>
      <name val="Aptos Narrow"/>
    </font>
    <font>
      <b/>
      <sz val="11"/>
      <color theme="1"/>
      <name val="Aptos Narrow"/>
    </font>
    <font>
      <b/>
      <sz val="11"/>
      <color theme="1"/>
      <name val="Aptos Narrow"/>
      <scheme val="minor"/>
    </font>
    <font>
      <b/>
      <sz val="11"/>
      <color rgb="FFFFFFFF"/>
      <name val="Arial"/>
      <family val="2"/>
    </font>
    <font>
      <b/>
      <i/>
      <sz val="11"/>
      <color theme="1"/>
      <name val="Arial"/>
      <family val="2"/>
    </font>
    <font>
      <i/>
      <sz val="11"/>
      <name val="Aptos Narrow"/>
      <family val="2"/>
      <scheme val="minor"/>
    </font>
    <font>
      <i/>
      <sz val="11"/>
      <color rgb="FF467886"/>
      <name val="Arial"/>
      <family val="2"/>
    </font>
    <font>
      <u/>
      <sz val="11"/>
      <name val="Aptos Narrow"/>
      <family val="2"/>
      <scheme val="minor"/>
    </font>
    <font>
      <sz val="11"/>
      <name val="Aptos Narrow"/>
      <family val="2"/>
      <scheme val="minor"/>
    </font>
  </fonts>
  <fills count="10">
    <fill>
      <patternFill patternType="none"/>
    </fill>
    <fill>
      <patternFill patternType="gray125"/>
    </fill>
    <fill>
      <patternFill patternType="solid">
        <fgColor rgb="FFFFC7CE"/>
      </patternFill>
    </fill>
    <fill>
      <patternFill patternType="solid">
        <fgColor rgb="FFFFFF00"/>
        <bgColor indexed="64"/>
      </patternFill>
    </fill>
    <fill>
      <patternFill patternType="solid">
        <fgColor rgb="FFDDEBF7"/>
        <bgColor indexed="64"/>
      </patternFill>
    </fill>
    <fill>
      <patternFill patternType="solid">
        <fgColor rgb="FF1F3864"/>
        <bgColor indexed="64"/>
      </patternFill>
    </fill>
    <fill>
      <patternFill patternType="solid">
        <fgColor rgb="FFC5D9E8"/>
        <bgColor indexed="64"/>
      </patternFill>
    </fill>
    <fill>
      <patternFill patternType="solid">
        <fgColor rgb="FFF2F7FB"/>
        <bgColor indexed="64"/>
      </patternFill>
    </fill>
    <fill>
      <patternFill patternType="solid">
        <fgColor rgb="FFE8F0F7"/>
        <bgColor indexed="64"/>
      </patternFill>
    </fill>
    <fill>
      <patternFill patternType="solid">
        <fgColor theme="5" tint="0.79998168889431442"/>
        <bgColor indexed="64"/>
      </patternFill>
    </fill>
  </fills>
  <borders count="3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7F7F7F"/>
      </left>
      <right style="thin">
        <color rgb="FF7F7F7F"/>
      </right>
      <top/>
      <bottom style="thin">
        <color rgb="FF7F7F7F"/>
      </bottom>
      <diagonal/>
    </border>
    <border>
      <left style="thin">
        <color rgb="FF7F7F7F"/>
      </left>
      <right style="thin">
        <color rgb="FF7F7F7F"/>
      </right>
      <top style="medium">
        <color rgb="FF1F3864"/>
      </top>
      <bottom style="thin">
        <color rgb="FF7F7F7F"/>
      </bottom>
      <diagonal/>
    </border>
    <border>
      <left style="thin">
        <color rgb="FF7F7F7F"/>
      </left>
      <right style="thin">
        <color rgb="FF7F7F7F"/>
      </right>
      <top style="thin">
        <color rgb="FF7F7F7F"/>
      </top>
      <bottom style="medium">
        <color rgb="FF1F3864"/>
      </bottom>
      <diagonal/>
    </border>
    <border>
      <left style="medium">
        <color rgb="FF1F3864"/>
      </left>
      <right style="thin">
        <color rgb="FF7F7F7F"/>
      </right>
      <top style="medium">
        <color rgb="FF1F3864"/>
      </top>
      <bottom style="thin">
        <color rgb="FF7F7F7F"/>
      </bottom>
      <diagonal/>
    </border>
    <border>
      <left style="medium">
        <color rgb="FF1F3864"/>
      </left>
      <right style="thin">
        <color rgb="FF7F7F7F"/>
      </right>
      <top style="thin">
        <color rgb="FF7F7F7F"/>
      </top>
      <bottom style="thin">
        <color rgb="FF7F7F7F"/>
      </bottom>
      <diagonal/>
    </border>
    <border>
      <left style="medium">
        <color rgb="FF1F3864"/>
      </left>
      <right style="thin">
        <color rgb="FF7F7F7F"/>
      </right>
      <top style="thin">
        <color rgb="FF7F7F7F"/>
      </top>
      <bottom style="medium">
        <color rgb="FF1F3864"/>
      </bottom>
      <diagonal/>
    </border>
    <border>
      <left style="thin">
        <color rgb="FF7F7F7F"/>
      </left>
      <right style="medium">
        <color rgb="FF1F3864"/>
      </right>
      <top style="medium">
        <color rgb="FF1F3864"/>
      </top>
      <bottom style="thin">
        <color rgb="FF7F7F7F"/>
      </bottom>
      <diagonal/>
    </border>
    <border>
      <left style="thin">
        <color rgb="FF7F7F7F"/>
      </left>
      <right style="medium">
        <color rgb="FF1F3864"/>
      </right>
      <top style="thin">
        <color rgb="FF7F7F7F"/>
      </top>
      <bottom style="thin">
        <color rgb="FF7F7F7F"/>
      </bottom>
      <diagonal/>
    </border>
    <border>
      <left style="thin">
        <color rgb="FF7F7F7F"/>
      </left>
      <right style="medium">
        <color rgb="FF1F3864"/>
      </right>
      <top style="thin">
        <color rgb="FF7F7F7F"/>
      </top>
      <bottom style="medium">
        <color rgb="FF1F3864"/>
      </bottom>
      <diagonal/>
    </border>
    <border>
      <left style="thin">
        <color rgb="FF7F7F7F"/>
      </left>
      <right style="medium">
        <color rgb="FF1F3864"/>
      </right>
      <top/>
      <bottom style="thin">
        <color rgb="FF7F7F7F"/>
      </bottom>
      <diagonal/>
    </border>
    <border>
      <left style="medium">
        <color rgb="FF1F3864"/>
      </left>
      <right style="thin">
        <color rgb="FF7F7F7F"/>
      </right>
      <top/>
      <bottom/>
      <diagonal/>
    </border>
    <border>
      <left style="thin">
        <color rgb="FF7F7F7F"/>
      </left>
      <right style="medium">
        <color rgb="FF1F3864"/>
      </right>
      <top/>
      <bottom/>
      <diagonal/>
    </border>
    <border>
      <left style="medium">
        <color rgb="FF1F3864"/>
      </left>
      <right style="thin">
        <color rgb="FF7F7F7F"/>
      </right>
      <top style="thin">
        <color rgb="FF7F7F7F"/>
      </top>
      <bottom/>
      <diagonal/>
    </border>
    <border>
      <left style="thin">
        <color rgb="FF7F7F7F"/>
      </left>
      <right style="thin">
        <color rgb="FF7F7F7F"/>
      </right>
      <top style="thin">
        <color rgb="FF7F7F7F"/>
      </top>
      <bottom/>
      <diagonal/>
    </border>
    <border>
      <left style="thin">
        <color rgb="FF7F7F7F"/>
      </left>
      <right style="medium">
        <color rgb="FF1F3864"/>
      </right>
      <top style="thin">
        <color rgb="FF7F7F7F"/>
      </top>
      <bottom/>
      <diagonal/>
    </border>
    <border>
      <left style="medium">
        <color rgb="FF1F3864"/>
      </left>
      <right style="thin">
        <color rgb="FF7F7F7F"/>
      </right>
      <top style="medium">
        <color rgb="FF1F3864"/>
      </top>
      <bottom/>
      <diagonal/>
    </border>
    <border>
      <left style="thin">
        <color rgb="FF7F7F7F"/>
      </left>
      <right style="thin">
        <color rgb="FF7F7F7F"/>
      </right>
      <top style="medium">
        <color rgb="FF1F3864"/>
      </top>
      <bottom/>
      <diagonal/>
    </border>
    <border>
      <left style="thin">
        <color rgb="FF7F7F7F"/>
      </left>
      <right style="medium">
        <color rgb="FF1F3864"/>
      </right>
      <top style="medium">
        <color rgb="FF1F3864"/>
      </top>
      <bottom/>
      <diagonal/>
    </border>
    <border>
      <left style="medium">
        <color rgb="FF1F3864"/>
      </left>
      <right style="thin">
        <color rgb="FF7F7F7F"/>
      </right>
      <top/>
      <bottom style="medium">
        <color rgb="FF1F3864"/>
      </bottom>
      <diagonal/>
    </border>
    <border>
      <left style="thin">
        <color rgb="FF7F7F7F"/>
      </left>
      <right style="thin">
        <color rgb="FF7F7F7F"/>
      </right>
      <top/>
      <bottom style="medium">
        <color rgb="FF1F3864"/>
      </bottom>
      <diagonal/>
    </border>
    <border>
      <left style="medium">
        <color rgb="FF1F3864"/>
      </left>
      <right style="thin">
        <color rgb="FF7F7F7F"/>
      </right>
      <top/>
      <bottom style="thin">
        <color rgb="FF7F7F7F"/>
      </bottom>
      <diagonal/>
    </border>
    <border>
      <left style="thin">
        <color indexed="64"/>
      </left>
      <right style="thin">
        <color indexed="64"/>
      </right>
      <top style="thin">
        <color indexed="64"/>
      </top>
      <bottom style="thin">
        <color indexed="64"/>
      </bottom>
      <diagonal/>
    </border>
    <border>
      <left/>
      <right style="thin">
        <color rgb="FF7F7F7F"/>
      </right>
      <top style="thin">
        <color rgb="FF7F7F7F"/>
      </top>
      <bottom style="thin">
        <color rgb="FF7F7F7F"/>
      </bottom>
      <diagonal/>
    </border>
    <border>
      <left style="medium">
        <color rgb="FF1F3864"/>
      </left>
      <right style="thin">
        <color rgb="FF7F7F7F"/>
      </right>
      <top style="medium">
        <color indexed="64"/>
      </top>
      <bottom/>
      <diagonal/>
    </border>
    <border>
      <left style="thin">
        <color rgb="FF7F7F7F"/>
      </left>
      <right style="thin">
        <color rgb="FF7F7F7F"/>
      </right>
      <top style="medium">
        <color rgb="FF1F3864"/>
      </top>
      <bottom style="medium">
        <color indexed="64"/>
      </bottom>
      <diagonal/>
    </border>
    <border>
      <left style="thin">
        <color rgb="FF7F7F7F"/>
      </left>
      <right style="thin">
        <color rgb="FF7F7F7F"/>
      </right>
      <top style="medium">
        <color indexed="64"/>
      </top>
      <bottom style="thin">
        <color indexed="64"/>
      </bottom>
      <diagonal/>
    </border>
  </borders>
  <cellStyleXfs count="3">
    <xf numFmtId="0" fontId="0" fillId="0" borderId="0"/>
    <xf numFmtId="0" fontId="1" fillId="2" borderId="0" applyNumberFormat="0" applyBorder="0" applyAlignment="0" applyProtection="0"/>
    <xf numFmtId="0" fontId="3" fillId="0" borderId="0" applyNumberFormat="0" applyFill="0" applyBorder="0" applyAlignment="0" applyProtection="0"/>
  </cellStyleXfs>
  <cellXfs count="162">
    <xf numFmtId="0" fontId="0" fillId="0" borderId="0" xfId="0"/>
    <xf numFmtId="0" fontId="9" fillId="0" borderId="0" xfId="1" applyFont="1" applyFill="1" applyProtection="1"/>
    <xf numFmtId="0" fontId="17" fillId="7" borderId="12" xfId="2" applyFont="1" applyFill="1" applyBorder="1" applyAlignment="1" applyProtection="1"/>
    <xf numFmtId="0" fontId="17" fillId="0" borderId="12" xfId="2" applyFont="1" applyFill="1" applyBorder="1" applyAlignment="1" applyProtection="1">
      <alignment horizontal="left" vertical="center"/>
    </xf>
    <xf numFmtId="0" fontId="17" fillId="0" borderId="12" xfId="2" applyFont="1" applyFill="1" applyBorder="1" applyAlignment="1" applyProtection="1"/>
    <xf numFmtId="0" fontId="17" fillId="7" borderId="13" xfId="2" applyFont="1" applyFill="1" applyBorder="1" applyAlignment="1" applyProtection="1">
      <alignment horizontal="left" vertical="center"/>
    </xf>
    <xf numFmtId="0" fontId="4" fillId="4" borderId="8" xfId="0" applyFont="1" applyFill="1" applyBorder="1" applyAlignment="1">
      <alignment horizontal="left"/>
    </xf>
    <xf numFmtId="0" fontId="2" fillId="4" borderId="6" xfId="0" applyFont="1" applyFill="1" applyBorder="1"/>
    <xf numFmtId="0" fontId="2" fillId="4" borderId="6" xfId="0" applyFont="1" applyFill="1" applyBorder="1" applyAlignment="1">
      <alignment wrapText="1"/>
    </xf>
    <xf numFmtId="0" fontId="5" fillId="4" borderId="6" xfId="0" applyFont="1" applyFill="1" applyBorder="1" applyAlignment="1">
      <alignment horizontal="left"/>
    </xf>
    <xf numFmtId="0" fontId="6" fillId="4" borderId="6" xfId="0" applyFont="1" applyFill="1" applyBorder="1" applyAlignment="1">
      <alignment horizontal="left" wrapText="1"/>
    </xf>
    <xf numFmtId="0" fontId="2" fillId="4" borderId="6" xfId="0" applyFont="1" applyFill="1" applyBorder="1" applyAlignment="1">
      <alignment shrinkToFit="1"/>
    </xf>
    <xf numFmtId="0" fontId="2" fillId="4" borderId="11" xfId="0" applyFont="1" applyFill="1" applyBorder="1"/>
    <xf numFmtId="0" fontId="2" fillId="0" borderId="0" xfId="0" applyFont="1"/>
    <xf numFmtId="0" fontId="24" fillId="5" borderId="10" xfId="0" applyFont="1" applyFill="1" applyBorder="1" applyAlignment="1">
      <alignment horizontal="left" vertical="center"/>
    </xf>
    <xf numFmtId="0" fontId="24" fillId="5" borderId="7" xfId="0" applyFont="1" applyFill="1" applyBorder="1" applyAlignment="1">
      <alignment vertical="center"/>
    </xf>
    <xf numFmtId="0" fontId="24" fillId="5" borderId="7" xfId="0" applyFont="1" applyFill="1" applyBorder="1" applyAlignment="1">
      <alignment vertical="center" wrapText="1"/>
    </xf>
    <xf numFmtId="0" fontId="24" fillId="5" borderId="7" xfId="0" applyFont="1" applyFill="1" applyBorder="1" applyAlignment="1">
      <alignment horizontal="left" vertical="center"/>
    </xf>
    <xf numFmtId="0" fontId="24" fillId="5" borderId="7" xfId="0" applyFont="1" applyFill="1" applyBorder="1" applyAlignment="1">
      <alignment horizontal="left" vertical="center" wrapText="1"/>
    </xf>
    <xf numFmtId="0" fontId="24" fillId="5" borderId="7" xfId="0" applyFont="1" applyFill="1" applyBorder="1" applyAlignment="1">
      <alignment vertical="center" shrinkToFit="1"/>
    </xf>
    <xf numFmtId="0" fontId="24" fillId="5" borderId="13" xfId="0" applyFont="1" applyFill="1" applyBorder="1" applyAlignment="1">
      <alignment vertical="center" wrapText="1"/>
    </xf>
    <xf numFmtId="0" fontId="25" fillId="0" borderId="0" xfId="0" applyFont="1"/>
    <xf numFmtId="16" fontId="7" fillId="3" borderId="20" xfId="0" applyNumberFormat="1" applyFont="1" applyFill="1" applyBorder="1" applyAlignment="1">
      <alignment horizontal="center" vertical="center"/>
    </xf>
    <xf numFmtId="0" fontId="14" fillId="3" borderId="29" xfId="0" applyFont="1" applyFill="1" applyBorder="1" applyAlignment="1">
      <alignment vertical="center" wrapText="1"/>
    </xf>
    <xf numFmtId="0" fontId="3" fillId="3" borderId="29" xfId="2" applyFill="1" applyBorder="1" applyAlignment="1" applyProtection="1">
      <alignment vertical="center" wrapText="1"/>
    </xf>
    <xf numFmtId="0" fontId="0" fillId="0" borderId="0" xfId="0" applyAlignment="1">
      <alignment vertical="center"/>
    </xf>
    <xf numFmtId="0" fontId="14" fillId="3" borderId="30" xfId="0" applyFont="1" applyFill="1" applyBorder="1" applyAlignment="1">
      <alignment horizontal="left" vertical="center" wrapText="1"/>
    </xf>
    <xf numFmtId="0" fontId="3" fillId="3" borderId="30" xfId="2" applyFill="1" applyBorder="1" applyAlignment="1" applyProtection="1">
      <alignment vertical="center"/>
    </xf>
    <xf numFmtId="0" fontId="14" fillId="3" borderId="4" xfId="0" applyFont="1" applyFill="1" applyBorder="1" applyAlignment="1">
      <alignment horizontal="left" vertical="center" wrapText="1"/>
    </xf>
    <xf numFmtId="0" fontId="3" fillId="3" borderId="0" xfId="2" applyFill="1" applyAlignment="1" applyProtection="1">
      <alignment vertical="center"/>
    </xf>
    <xf numFmtId="0" fontId="18" fillId="6" borderId="21" xfId="0" applyFont="1" applyFill="1" applyBorder="1" applyAlignment="1">
      <alignment horizontal="left" vertical="center" wrapText="1"/>
    </xf>
    <xf numFmtId="0" fontId="15" fillId="6" borderId="21" xfId="0" applyFont="1" applyFill="1" applyBorder="1" applyAlignment="1">
      <alignment wrapText="1"/>
    </xf>
    <xf numFmtId="0" fontId="2" fillId="6" borderId="22" xfId="0" applyFont="1" applyFill="1" applyBorder="1"/>
    <xf numFmtId="0" fontId="17" fillId="0" borderId="11" xfId="0" applyFont="1" applyBorder="1" applyAlignment="1">
      <alignment horizontal="left" vertical="center"/>
    </xf>
    <xf numFmtId="0" fontId="17" fillId="0" borderId="12" xfId="0" applyFont="1" applyBorder="1" applyAlignment="1">
      <alignment horizontal="left" vertical="center"/>
    </xf>
    <xf numFmtId="0" fontId="17" fillId="7" borderId="12" xfId="0" applyFont="1" applyFill="1" applyBorder="1" applyAlignment="1">
      <alignment horizontal="left" vertical="center"/>
    </xf>
    <xf numFmtId="0" fontId="17" fillId="0" borderId="12" xfId="0" applyFont="1" applyBorder="1"/>
    <xf numFmtId="0" fontId="17" fillId="7" borderId="12" xfId="0" applyFont="1" applyFill="1" applyBorder="1"/>
    <xf numFmtId="0" fontId="17" fillId="7" borderId="12" xfId="0" applyFont="1" applyFill="1" applyBorder="1" applyAlignment="1">
      <alignment horizontal="left" vertical="center" readingOrder="1"/>
    </xf>
    <xf numFmtId="16" fontId="16" fillId="9" borderId="26" xfId="0" applyNumberFormat="1" applyFont="1" applyFill="1" applyBorder="1" applyAlignment="1">
      <alignment horizontal="center" vertical="center"/>
    </xf>
    <xf numFmtId="0" fontId="2" fillId="9" borderId="27" xfId="0" applyFont="1" applyFill="1" applyBorder="1" applyAlignment="1">
      <alignment horizontal="center" vertical="center"/>
    </xf>
    <xf numFmtId="0" fontId="27" fillId="9" borderId="3" xfId="0" applyFont="1" applyFill="1" applyBorder="1" applyAlignment="1">
      <alignment horizontal="left" vertical="center" readingOrder="1"/>
    </xf>
    <xf numFmtId="0" fontId="8" fillId="9" borderId="4" xfId="0" applyFont="1" applyFill="1" applyBorder="1" applyAlignment="1">
      <alignment horizontal="left" vertical="center"/>
    </xf>
    <xf numFmtId="0" fontId="9" fillId="9" borderId="4" xfId="0" applyFont="1" applyFill="1" applyBorder="1" applyAlignment="1">
      <alignment horizontal="left" vertical="center" wrapText="1"/>
    </xf>
    <xf numFmtId="0" fontId="14" fillId="9" borderId="3" xfId="0" applyFont="1" applyFill="1" applyBorder="1"/>
    <xf numFmtId="0" fontId="17" fillId="9" borderId="12" xfId="0" applyFont="1" applyFill="1" applyBorder="1" applyAlignment="1">
      <alignment horizontal="left" vertical="center"/>
    </xf>
    <xf numFmtId="0" fontId="0" fillId="9" borderId="0" xfId="0" applyFill="1"/>
    <xf numFmtId="16" fontId="16" fillId="9" borderId="15" xfId="0" applyNumberFormat="1" applyFont="1" applyFill="1" applyBorder="1" applyAlignment="1">
      <alignment horizontal="center" vertical="center"/>
    </xf>
    <xf numFmtId="0" fontId="2" fillId="9" borderId="3" xfId="0" applyFont="1" applyFill="1" applyBorder="1" applyAlignment="1">
      <alignment horizontal="center" vertical="center"/>
    </xf>
    <xf numFmtId="0" fontId="17" fillId="9" borderId="3" xfId="0" applyFont="1" applyFill="1" applyBorder="1" applyAlignment="1">
      <alignment horizontal="left" vertical="center" readingOrder="1"/>
    </xf>
    <xf numFmtId="0" fontId="21" fillId="6" borderId="4" xfId="0" applyFont="1" applyFill="1" applyBorder="1" applyAlignment="1">
      <alignment horizontal="left" vertical="center" wrapText="1"/>
    </xf>
    <xf numFmtId="0" fontId="22" fillId="6" borderId="4" xfId="0" applyFont="1" applyFill="1" applyBorder="1" applyAlignment="1">
      <alignment horizontal="left" vertical="center"/>
    </xf>
    <xf numFmtId="0" fontId="23" fillId="6" borderId="16" xfId="0" applyFont="1" applyFill="1" applyBorder="1" applyAlignment="1">
      <alignment horizontal="left" vertical="center"/>
    </xf>
    <xf numFmtId="0" fontId="12" fillId="0" borderId="0" xfId="0" applyFont="1" applyAlignment="1">
      <alignment horizontal="left" vertical="center"/>
    </xf>
    <xf numFmtId="0" fontId="7" fillId="0" borderId="2" xfId="0" applyFont="1" applyBorder="1" applyAlignment="1">
      <alignment horizontal="left"/>
    </xf>
    <xf numFmtId="0" fontId="2" fillId="0" borderId="2" xfId="0" applyFont="1" applyBorder="1"/>
    <xf numFmtId="0" fontId="0" fillId="0" borderId="2" xfId="0" applyBorder="1" applyAlignment="1">
      <alignment wrapText="1"/>
    </xf>
    <xf numFmtId="0" fontId="8" fillId="0" borderId="2" xfId="0" applyFont="1" applyBorder="1" applyAlignment="1">
      <alignment horizontal="left"/>
    </xf>
    <xf numFmtId="0" fontId="9" fillId="0" borderId="2" xfId="0" applyFont="1" applyBorder="1" applyAlignment="1">
      <alignment horizontal="left" wrapText="1"/>
    </xf>
    <xf numFmtId="0" fontId="0" fillId="0" borderId="2" xfId="0" applyBorder="1" applyAlignment="1">
      <alignment shrinkToFit="1"/>
    </xf>
    <xf numFmtId="0" fontId="0" fillId="0" borderId="2" xfId="0" applyBorder="1"/>
    <xf numFmtId="0" fontId="7" fillId="0" borderId="1" xfId="0" applyFont="1" applyBorder="1" applyAlignment="1">
      <alignment horizontal="left"/>
    </xf>
    <xf numFmtId="0" fontId="2" fillId="0" borderId="1" xfId="0" applyFont="1" applyBorder="1"/>
    <xf numFmtId="0" fontId="0" fillId="0" borderId="1" xfId="0" applyBorder="1" applyAlignment="1">
      <alignment wrapText="1"/>
    </xf>
    <xf numFmtId="0" fontId="8" fillId="0" borderId="1" xfId="0" applyFont="1" applyBorder="1" applyAlignment="1">
      <alignment horizontal="left"/>
    </xf>
    <xf numFmtId="0" fontId="9" fillId="0" borderId="1" xfId="0" applyFont="1" applyBorder="1" applyAlignment="1">
      <alignment horizontal="left" wrapText="1"/>
    </xf>
    <xf numFmtId="0" fontId="0" fillId="0" borderId="1" xfId="0" applyBorder="1" applyAlignment="1">
      <alignment shrinkToFit="1"/>
    </xf>
    <xf numFmtId="0" fontId="0" fillId="0" borderId="1" xfId="0" applyBorder="1"/>
    <xf numFmtId="0" fontId="13" fillId="6" borderId="20" xfId="0" applyFont="1" applyFill="1" applyBorder="1" applyAlignment="1">
      <alignment horizontal="left" vertical="center" wrapText="1"/>
    </xf>
    <xf numFmtId="0" fontId="13" fillId="6" borderId="21" xfId="0" applyFont="1" applyFill="1" applyBorder="1" applyAlignment="1">
      <alignment horizontal="left" vertical="center" wrapText="1"/>
    </xf>
    <xf numFmtId="0" fontId="11" fillId="6" borderId="15" xfId="0" applyFont="1" applyFill="1" applyBorder="1" applyAlignment="1">
      <alignment horizontal="left" vertical="center" wrapText="1"/>
    </xf>
    <xf numFmtId="0" fontId="11" fillId="6" borderId="4" xfId="0" applyFont="1" applyFill="1" applyBorder="1" applyAlignment="1">
      <alignment horizontal="left" vertical="center" wrapText="1"/>
    </xf>
    <xf numFmtId="16" fontId="7" fillId="0" borderId="20" xfId="0" applyNumberFormat="1" applyFont="1" applyBorder="1" applyAlignment="1">
      <alignment horizontal="center" vertical="center"/>
    </xf>
    <xf numFmtId="16" fontId="7" fillId="0" borderId="25" xfId="0" applyNumberFormat="1" applyFont="1" applyBorder="1" applyAlignment="1">
      <alignment horizontal="center" vertical="center"/>
    </xf>
    <xf numFmtId="16" fontId="7" fillId="4" borderId="9" xfId="0" applyNumberFormat="1" applyFont="1" applyFill="1" applyBorder="1" applyAlignment="1">
      <alignment horizontal="center" vertical="center"/>
    </xf>
    <xf numFmtId="16" fontId="7" fillId="0" borderId="15" xfId="0" applyNumberFormat="1" applyFont="1" applyBorder="1" applyAlignment="1">
      <alignment horizontal="center" vertical="center"/>
    </xf>
    <xf numFmtId="16" fontId="7" fillId="4" borderId="17" xfId="0" applyNumberFormat="1" applyFont="1" applyFill="1" applyBorder="1" applyAlignment="1">
      <alignment horizontal="center" vertical="center"/>
    </xf>
    <xf numFmtId="16" fontId="7" fillId="4" borderId="25" xfId="0" applyNumberFormat="1" applyFont="1" applyFill="1" applyBorder="1" applyAlignment="1">
      <alignment horizontal="center" vertical="center"/>
    </xf>
    <xf numFmtId="16" fontId="7" fillId="0" borderId="9" xfId="0" applyNumberFormat="1" applyFont="1" applyBorder="1" applyAlignment="1">
      <alignment horizontal="center" vertical="center"/>
    </xf>
    <xf numFmtId="0" fontId="2" fillId="4" borderId="3" xfId="0" applyFont="1" applyFill="1" applyBorder="1" applyAlignment="1">
      <alignment horizontal="center" vertical="center"/>
    </xf>
    <xf numFmtId="0" fontId="2" fillId="0" borderId="3" xfId="0" applyFont="1" applyBorder="1" applyAlignment="1">
      <alignment horizontal="center" vertical="center"/>
    </xf>
    <xf numFmtId="16" fontId="7" fillId="0" borderId="10" xfId="0" applyNumberFormat="1" applyFont="1" applyBorder="1" applyAlignment="1">
      <alignment horizontal="center" vertical="center"/>
    </xf>
    <xf numFmtId="0" fontId="10" fillId="0" borderId="6" xfId="1" applyFont="1" applyFill="1" applyBorder="1" applyAlignment="1" applyProtection="1">
      <alignment horizontal="center" vertical="center"/>
    </xf>
    <xf numFmtId="0" fontId="10" fillId="0" borderId="3" xfId="1" applyFont="1" applyFill="1" applyBorder="1" applyAlignment="1" applyProtection="1">
      <alignment horizontal="center" vertical="center"/>
    </xf>
    <xf numFmtId="16" fontId="26" fillId="0" borderId="17" xfId="0" applyNumberFormat="1" applyFont="1" applyBorder="1" applyAlignment="1">
      <alignment horizontal="center" vertical="center"/>
    </xf>
    <xf numFmtId="16" fontId="26" fillId="0" borderId="15" xfId="0" applyNumberFormat="1" applyFont="1" applyBorder="1" applyAlignment="1">
      <alignment horizontal="center" vertical="center"/>
    </xf>
    <xf numFmtId="16" fontId="26" fillId="0" borderId="25" xfId="0" applyNumberFormat="1" applyFont="1" applyBorder="1" applyAlignment="1">
      <alignment horizontal="center" vertical="center"/>
    </xf>
    <xf numFmtId="0" fontId="2" fillId="0" borderId="7" xfId="0" applyFont="1" applyBorder="1" applyAlignment="1">
      <alignment horizontal="center" vertical="center"/>
    </xf>
    <xf numFmtId="0" fontId="17" fillId="0" borderId="6" xfId="0" applyFont="1" applyBorder="1" applyAlignment="1">
      <alignment horizontal="left" vertical="center" readingOrder="1"/>
    </xf>
    <xf numFmtId="0" fontId="17" fillId="0" borderId="3" xfId="0" applyFont="1" applyBorder="1" applyAlignment="1">
      <alignment horizontal="left" vertical="center" readingOrder="1"/>
    </xf>
    <xf numFmtId="0" fontId="17" fillId="4" borderId="3" xfId="0" applyFont="1" applyFill="1" applyBorder="1" applyAlignment="1">
      <alignment horizontal="left" vertical="center"/>
    </xf>
    <xf numFmtId="0" fontId="17" fillId="0" borderId="3" xfId="0" applyFont="1" applyBorder="1" applyAlignment="1">
      <alignment horizontal="left" vertical="center"/>
    </xf>
    <xf numFmtId="0" fontId="17" fillId="4" borderId="3" xfId="2" applyFont="1" applyFill="1" applyBorder="1" applyAlignment="1" applyProtection="1">
      <alignment horizontal="left" vertical="center"/>
    </xf>
    <xf numFmtId="0" fontId="17" fillId="4" borderId="3" xfId="0" applyFont="1" applyFill="1" applyBorder="1" applyAlignment="1">
      <alignment horizontal="left" vertical="center" readingOrder="1"/>
    </xf>
    <xf numFmtId="0" fontId="17" fillId="0" borderId="7" xfId="0" applyFont="1" applyBorder="1" applyAlignment="1">
      <alignment horizontal="left" vertical="center"/>
    </xf>
    <xf numFmtId="0" fontId="2" fillId="4" borderId="6" xfId="0" applyFont="1" applyFill="1" applyBorder="1" applyAlignment="1">
      <alignment horizontal="center" vertical="center"/>
    </xf>
    <xf numFmtId="16" fontId="7" fillId="4" borderId="8" xfId="0" applyNumberFormat="1" applyFont="1" applyFill="1" applyBorder="1" applyAlignment="1">
      <alignment horizontal="center" vertical="center"/>
    </xf>
    <xf numFmtId="0" fontId="19" fillId="4" borderId="6" xfId="2" applyFont="1" applyFill="1" applyBorder="1" applyAlignment="1" applyProtection="1">
      <alignment horizontal="left" vertical="center" readingOrder="1"/>
    </xf>
    <xf numFmtId="0" fontId="19" fillId="4" borderId="3" xfId="2" applyFont="1" applyFill="1" applyBorder="1" applyAlignment="1" applyProtection="1">
      <alignment horizontal="left" vertical="center" readingOrder="1"/>
    </xf>
    <xf numFmtId="0" fontId="19" fillId="0" borderId="3" xfId="2" applyFont="1" applyFill="1" applyBorder="1" applyAlignment="1" applyProtection="1">
      <alignment horizontal="left" vertical="center" readingOrder="1"/>
    </xf>
    <xf numFmtId="0" fontId="19" fillId="4" borderId="3" xfId="2" applyFont="1" applyFill="1" applyBorder="1" applyAlignment="1" applyProtection="1">
      <alignment horizontal="left" vertical="center"/>
    </xf>
    <xf numFmtId="0" fontId="19" fillId="0" borderId="3" xfId="0" applyFont="1" applyBorder="1" applyAlignment="1">
      <alignment horizontal="left" vertical="center"/>
    </xf>
    <xf numFmtId="0" fontId="19" fillId="0" borderId="7" xfId="2" applyFont="1" applyFill="1" applyBorder="1" applyAlignment="1" applyProtection="1">
      <alignment horizontal="left" vertical="center" readingOrder="1"/>
    </xf>
    <xf numFmtId="0" fontId="18" fillId="8" borderId="3" xfId="2" applyFont="1" applyFill="1" applyBorder="1" applyAlignment="1" applyProtection="1">
      <alignment horizontal="left" vertical="center" readingOrder="1"/>
    </xf>
    <xf numFmtId="0" fontId="18" fillId="8" borderId="7" xfId="2" applyFont="1" applyFill="1" applyBorder="1" applyAlignment="1" applyProtection="1">
      <alignment horizontal="left" vertical="center" readingOrder="1"/>
    </xf>
    <xf numFmtId="0" fontId="14" fillId="0" borderId="6"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readingOrder="1"/>
    </xf>
    <xf numFmtId="0" fontId="18" fillId="8" borderId="6" xfId="0" applyFont="1" applyFill="1" applyBorder="1" applyAlignment="1">
      <alignment horizontal="left" vertical="center" readingOrder="1"/>
    </xf>
    <xf numFmtId="0" fontId="18" fillId="8" borderId="3" xfId="0" applyFont="1" applyFill="1" applyBorder="1" applyAlignment="1">
      <alignment horizontal="left" vertical="center" readingOrder="1"/>
    </xf>
    <xf numFmtId="0" fontId="18" fillId="8" borderId="3" xfId="0" applyFont="1" applyFill="1" applyBorder="1" applyAlignment="1">
      <alignment horizontal="left" vertical="center"/>
    </xf>
    <xf numFmtId="0" fontId="18" fillId="8" borderId="3" xfId="2" applyFont="1" applyFill="1" applyBorder="1" applyAlignment="1" applyProtection="1">
      <alignment horizontal="left" vertical="center"/>
    </xf>
    <xf numFmtId="0" fontId="18" fillId="8" borderId="7" xfId="2" applyFont="1" applyFill="1" applyBorder="1" applyAlignment="1" applyProtection="1">
      <alignment horizontal="left" vertical="center"/>
    </xf>
    <xf numFmtId="0" fontId="29" fillId="0" borderId="18" xfId="0" applyFont="1" applyBorder="1" applyAlignment="1" applyProtection="1">
      <alignment horizontal="left" vertical="center"/>
      <protection locked="0"/>
    </xf>
    <xf numFmtId="0" fontId="29" fillId="0" borderId="5" xfId="0" applyFont="1" applyBorder="1" applyAlignment="1" applyProtection="1">
      <alignment horizontal="left" vertical="center"/>
      <protection locked="0"/>
    </xf>
    <xf numFmtId="0" fontId="14" fillId="0" borderId="6" xfId="0" applyFont="1" applyBorder="1" applyAlignment="1">
      <alignment horizontal="left" vertical="center" readingOrder="1"/>
    </xf>
    <xf numFmtId="0" fontId="20" fillId="0" borderId="3" xfId="0" applyFont="1" applyBorder="1" applyAlignment="1">
      <alignment horizontal="left" vertical="center"/>
    </xf>
    <xf numFmtId="0" fontId="18" fillId="8" borderId="6" xfId="2" applyFont="1" applyFill="1" applyBorder="1" applyAlignment="1" applyProtection="1">
      <alignment horizontal="left" vertical="center" wrapText="1" readingOrder="1"/>
    </xf>
    <xf numFmtId="0" fontId="18" fillId="8" borderId="3" xfId="2" applyFont="1" applyFill="1" applyBorder="1" applyAlignment="1" applyProtection="1">
      <alignment horizontal="left" vertical="center" wrapText="1" readingOrder="1"/>
    </xf>
    <xf numFmtId="0" fontId="20" fillId="0" borderId="21" xfId="0" applyFont="1" applyBorder="1" applyAlignment="1" applyProtection="1">
      <alignment horizontal="left" vertical="center" wrapText="1"/>
      <protection locked="0"/>
    </xf>
    <xf numFmtId="0" fontId="20" fillId="0" borderId="5" xfId="0" applyFont="1" applyBorder="1" applyAlignment="1" applyProtection="1">
      <alignment horizontal="left" vertical="center" wrapText="1"/>
      <protection locked="0"/>
    </xf>
    <xf numFmtId="0" fontId="29" fillId="4" borderId="18" xfId="0" applyFont="1" applyFill="1" applyBorder="1" applyAlignment="1" applyProtection="1">
      <alignment horizontal="left" vertical="center"/>
      <protection locked="0"/>
    </xf>
    <xf numFmtId="0" fontId="29" fillId="4" borderId="5" xfId="0" applyFont="1" applyFill="1" applyBorder="1" applyAlignment="1" applyProtection="1">
      <alignment horizontal="left" vertical="center"/>
      <protection locked="0"/>
    </xf>
    <xf numFmtId="0" fontId="29" fillId="4" borderId="18" xfId="0" applyFont="1" applyFill="1" applyBorder="1" applyAlignment="1" applyProtection="1">
      <alignment horizontal="left" vertical="center" wrapText="1"/>
      <protection locked="0"/>
    </xf>
    <xf numFmtId="0" fontId="29" fillId="4" borderId="5" xfId="0" applyFont="1" applyFill="1" applyBorder="1" applyAlignment="1" applyProtection="1">
      <alignment horizontal="left" vertical="center" wrapText="1"/>
      <protection locked="0"/>
    </xf>
    <xf numFmtId="0" fontId="29" fillId="0" borderId="18" xfId="0" applyFont="1" applyBorder="1" applyAlignment="1" applyProtection="1">
      <alignment horizontal="left" vertical="center" wrapText="1"/>
      <protection locked="0"/>
    </xf>
    <xf numFmtId="0" fontId="29" fillId="0" borderId="5" xfId="0" applyFont="1" applyBorder="1" applyAlignment="1" applyProtection="1">
      <alignment horizontal="left" vertical="center" wrapText="1"/>
      <protection locked="0"/>
    </xf>
    <xf numFmtId="0" fontId="20" fillId="4" borderId="21" xfId="0" applyFont="1" applyFill="1" applyBorder="1" applyAlignment="1" applyProtection="1">
      <alignment horizontal="left" vertical="center" wrapText="1"/>
      <protection locked="0"/>
    </xf>
    <xf numFmtId="0" fontId="20" fillId="4" borderId="5" xfId="0" applyFont="1" applyFill="1" applyBorder="1" applyAlignment="1" applyProtection="1">
      <alignment horizontal="left" vertical="center" wrapText="1"/>
      <protection locked="0"/>
    </xf>
    <xf numFmtId="0" fontId="29" fillId="0" borderId="4" xfId="0" applyFont="1" applyBorder="1" applyAlignment="1" applyProtection="1">
      <alignment horizontal="left" vertical="center" wrapText="1"/>
      <protection locked="0"/>
    </xf>
    <xf numFmtId="0" fontId="29" fillId="0" borderId="4" xfId="0" applyFont="1" applyBorder="1" applyAlignment="1" applyProtection="1">
      <alignment horizontal="left" vertical="center"/>
      <protection locked="0"/>
    </xf>
    <xf numFmtId="0" fontId="14" fillId="0" borderId="7" xfId="0" applyFont="1" applyBorder="1" applyAlignment="1">
      <alignment horizontal="left" vertical="center" readingOrder="1"/>
    </xf>
    <xf numFmtId="0" fontId="28" fillId="4" borderId="18" xfId="2" applyFont="1" applyFill="1" applyBorder="1" applyAlignment="1" applyProtection="1">
      <alignment horizontal="left" vertical="center"/>
      <protection locked="0"/>
    </xf>
    <xf numFmtId="0" fontId="28" fillId="4" borderId="5" xfId="2" applyFont="1" applyFill="1" applyBorder="1" applyAlignment="1" applyProtection="1">
      <alignment horizontal="left" vertical="center"/>
      <protection locked="0"/>
    </xf>
    <xf numFmtId="0" fontId="29" fillId="0" borderId="18" xfId="0" applyFont="1" applyBorder="1" applyAlignment="1" applyProtection="1">
      <alignment horizontal="left"/>
      <protection locked="0"/>
    </xf>
    <xf numFmtId="0" fontId="29" fillId="0" borderId="5" xfId="0" applyFont="1" applyBorder="1" applyAlignment="1" applyProtection="1">
      <alignment horizontal="left"/>
      <protection locked="0"/>
    </xf>
    <xf numFmtId="0" fontId="29" fillId="0" borderId="18" xfId="0" applyFont="1" applyBorder="1" applyAlignment="1" applyProtection="1">
      <alignment horizontal="left" wrapText="1"/>
      <protection locked="0"/>
    </xf>
    <xf numFmtId="0" fontId="29" fillId="0" borderId="5" xfId="0" applyFont="1" applyBorder="1" applyAlignment="1" applyProtection="1">
      <alignment horizontal="left" wrapText="1"/>
      <protection locked="0"/>
    </xf>
    <xf numFmtId="0" fontId="29" fillId="4" borderId="18" xfId="0" applyFont="1" applyFill="1" applyBorder="1" applyAlignment="1" applyProtection="1">
      <alignment horizontal="left" wrapText="1"/>
      <protection locked="0"/>
    </xf>
    <xf numFmtId="0" fontId="29" fillId="4" borderId="5" xfId="0" applyFont="1" applyFill="1" applyBorder="1" applyAlignment="1" applyProtection="1">
      <alignment horizontal="left" wrapText="1"/>
      <protection locked="0"/>
    </xf>
    <xf numFmtId="0" fontId="29" fillId="4" borderId="18" xfId="0" applyFont="1" applyFill="1" applyBorder="1" applyAlignment="1" applyProtection="1">
      <alignment horizontal="left"/>
      <protection locked="0"/>
    </xf>
    <xf numFmtId="0" fontId="29" fillId="4" borderId="5" xfId="0" applyFont="1" applyFill="1" applyBorder="1" applyAlignment="1" applyProtection="1">
      <alignment horizontal="left"/>
      <protection locked="0"/>
    </xf>
    <xf numFmtId="16" fontId="7" fillId="3" borderId="28" xfId="0" applyNumberFormat="1" applyFont="1" applyFill="1" applyBorder="1" applyAlignment="1">
      <alignment horizontal="center" vertical="center"/>
    </xf>
    <xf numFmtId="16" fontId="7" fillId="3" borderId="23" xfId="0" applyNumberFormat="1" applyFont="1" applyFill="1" applyBorder="1" applyAlignment="1">
      <alignment horizontal="center" vertical="center"/>
    </xf>
    <xf numFmtId="0" fontId="0" fillId="3" borderId="21" xfId="0" applyFill="1" applyBorder="1" applyAlignment="1">
      <alignment horizontal="center" vertical="center" wrapText="1"/>
    </xf>
    <xf numFmtId="0" fontId="0" fillId="3" borderId="4" xfId="0" applyFill="1" applyBorder="1" applyAlignment="1">
      <alignment horizontal="center" vertical="center" wrapText="1"/>
    </xf>
    <xf numFmtId="0" fontId="0" fillId="3" borderId="24" xfId="0" applyFill="1" applyBorder="1" applyAlignment="1">
      <alignment horizontal="center" vertical="center" wrapText="1"/>
    </xf>
    <xf numFmtId="0" fontId="18" fillId="3" borderId="21" xfId="0" applyFont="1" applyFill="1" applyBorder="1" applyAlignment="1">
      <alignment horizontal="left" vertical="center" shrinkToFit="1"/>
    </xf>
    <xf numFmtId="0" fontId="18" fillId="3" borderId="4" xfId="0" applyFont="1" applyFill="1" applyBorder="1" applyAlignment="1">
      <alignment horizontal="left" vertical="center" shrinkToFit="1"/>
    </xf>
    <xf numFmtId="0" fontId="18" fillId="3" borderId="24" xfId="0" applyFont="1" applyFill="1" applyBorder="1" applyAlignment="1">
      <alignment horizontal="left" vertical="center" shrinkToFit="1"/>
    </xf>
    <xf numFmtId="16" fontId="7" fillId="0" borderId="17" xfId="0" applyNumberFormat="1" applyFont="1" applyBorder="1" applyAlignment="1">
      <alignment horizontal="center" vertical="center"/>
    </xf>
    <xf numFmtId="16" fontId="7" fillId="0" borderId="23" xfId="0" applyNumberFormat="1" applyFont="1" applyBorder="1" applyAlignment="1">
      <alignment horizontal="center" vertical="center"/>
    </xf>
    <xf numFmtId="0" fontId="19" fillId="0" borderId="22" xfId="2" applyFont="1" applyFill="1" applyBorder="1" applyAlignment="1" applyProtection="1">
      <alignment horizontal="left" vertical="center" readingOrder="1"/>
    </xf>
    <xf numFmtId="0" fontId="19" fillId="0" borderId="14" xfId="2" applyFont="1" applyFill="1" applyBorder="1" applyAlignment="1" applyProtection="1">
      <alignment horizontal="left" vertical="center" readingOrder="1"/>
    </xf>
    <xf numFmtId="0" fontId="19" fillId="7" borderId="19" xfId="0" applyFont="1" applyFill="1" applyBorder="1" applyAlignment="1">
      <alignment horizontal="left" vertical="center"/>
    </xf>
    <xf numFmtId="0" fontId="19" fillId="7" borderId="14" xfId="0" applyFont="1" applyFill="1" applyBorder="1" applyAlignment="1">
      <alignment horizontal="left" vertical="center"/>
    </xf>
    <xf numFmtId="0" fontId="29" fillId="0" borderId="24" xfId="0" applyFont="1" applyBorder="1" applyAlignment="1" applyProtection="1">
      <alignment horizontal="left"/>
      <protection locked="0"/>
    </xf>
    <xf numFmtId="0" fontId="29" fillId="0" borderId="24" xfId="0" applyFont="1" applyBorder="1" applyAlignment="1" applyProtection="1">
      <alignment horizontal="left" wrapText="1"/>
      <protection locked="0"/>
    </xf>
    <xf numFmtId="0" fontId="29" fillId="0" borderId="24" xfId="0" applyFont="1" applyBorder="1" applyAlignment="1" applyProtection="1">
      <alignment horizontal="left" vertical="center" wrapText="1"/>
      <protection locked="0"/>
    </xf>
    <xf numFmtId="0" fontId="29" fillId="0" borderId="24" xfId="0" applyFont="1" applyBorder="1" applyAlignment="1" applyProtection="1">
      <alignment horizontal="left" vertical="center"/>
      <protection locked="0"/>
    </xf>
    <xf numFmtId="0" fontId="14" fillId="0" borderId="3" xfId="0" applyFont="1" applyBorder="1" applyAlignment="1"/>
    <xf numFmtId="0" fontId="14" fillId="0" borderId="7" xfId="0" applyFont="1" applyBorder="1" applyAlignment="1"/>
  </cellXfs>
  <cellStyles count="3">
    <cellStyle name="Bad" xfId="1" builtinId="27"/>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964A331-CB7C-5D4A-8F82-04D2520C2066}">
  <we:reference id="WA200009404" version="1.0.0.8" store="Omex" storeType="OMEX"/>
  <we:alternateReferences>
    <we:reference id="WA200009404" version="1.0.0.8" store="WA200009404" storeType="OMEX"/>
  </we:alternateReferences>
  <we:properties>
    <we:property name="claude.fileId" value="&quot;5a590561-4198-4785-8905-1f1ecb4487a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6" Type="http://schemas.openxmlformats.org/officeDocument/2006/relationships/hyperlink" Target="https://arxiv.org/abs/1412.6572" TargetMode="External"/><Relationship Id="rId21" Type="http://schemas.openxmlformats.org/officeDocument/2006/relationships/hyperlink" Target="https://www.usenix.org/conference/usenixsecurity25/presentation/bao-ergute" TargetMode="External"/><Relationship Id="rId42" Type="http://schemas.openxmlformats.org/officeDocument/2006/relationships/hyperlink" Target="https://arxiv.org/abs/1708.06733" TargetMode="External"/><Relationship Id="rId47" Type="http://schemas.openxmlformats.org/officeDocument/2006/relationships/hyperlink" Target="https://arxiv.org/abs/2207.01991" TargetMode="External"/><Relationship Id="rId63" Type="http://schemas.openxmlformats.org/officeDocument/2006/relationships/hyperlink" Target="https://dl.acm.org/doi/10.1145/3576915.3623202" TargetMode="External"/><Relationship Id="rId68" Type="http://schemas.openxmlformats.org/officeDocument/2006/relationships/hyperlink" Target="https://arxiv.org/abs/2009.03561" TargetMode="External"/><Relationship Id="rId2" Type="http://schemas.openxmlformats.org/officeDocument/2006/relationships/hyperlink" Target="https://arxiv.org/abs/2302.12173" TargetMode="External"/><Relationship Id="rId16" Type="http://schemas.openxmlformats.org/officeDocument/2006/relationships/hyperlink" Target="https://www.ndss-symposium.org/ndss-paper/secure-transformer-inference-made-non-interactive/" TargetMode="External"/><Relationship Id="rId29" Type="http://schemas.openxmlformats.org/officeDocument/2006/relationships/hyperlink" Target="https://arxiv.org/abs/2310.08419" TargetMode="External"/><Relationship Id="rId11" Type="http://schemas.openxmlformats.org/officeDocument/2006/relationships/hyperlink" Target="https://arxiv.org/abs/2112.02125" TargetMode="External"/><Relationship Id="rId24" Type="http://schemas.openxmlformats.org/officeDocument/2006/relationships/hyperlink" Target="https://www.ndss-symposium.org/ndss-paper/asgard-protecting-on-device-deep-neural-networks-with-virtualization-based-trusted-execution-environments/" TargetMode="External"/><Relationship Id="rId32" Type="http://schemas.openxmlformats.org/officeDocument/2006/relationships/hyperlink" Target="https://arxiv.org/abs/2312.06674" TargetMode="External"/><Relationship Id="rId37" Type="http://schemas.openxmlformats.org/officeDocument/2006/relationships/hyperlink" Target="https://arxiv.org/abs/2310.16789" TargetMode="External"/><Relationship Id="rId40" Type="http://schemas.openxmlformats.org/officeDocument/2006/relationships/hyperlink" Target="https://arxiv.org/abs/2303.07345" TargetMode="External"/><Relationship Id="rId45" Type="http://schemas.openxmlformats.org/officeDocument/2006/relationships/hyperlink" Target="https://arxiv.org/abs/2403.06634" TargetMode="External"/><Relationship Id="rId53" Type="http://schemas.openxmlformats.org/officeDocument/2006/relationships/hyperlink" Target="https://arxiv.org/abs/2305.20030" TargetMode="External"/><Relationship Id="rId58" Type="http://schemas.openxmlformats.org/officeDocument/2006/relationships/hyperlink" Target="https://eprint.iacr.org/2023/1678" TargetMode="External"/><Relationship Id="rId66" Type="http://schemas.openxmlformats.org/officeDocument/2006/relationships/hyperlink" Target="https://dl.acm.org/doi/pdf/10.1145/3658644.3670267" TargetMode="External"/><Relationship Id="rId5" Type="http://schemas.openxmlformats.org/officeDocument/2006/relationships/hyperlink" Target="https://arxiv.org/abs/1607.00133" TargetMode="External"/><Relationship Id="rId61" Type="http://schemas.openxmlformats.org/officeDocument/2006/relationships/hyperlink" Target="https://arxiv.org/abs/1806.03287" TargetMode="External"/><Relationship Id="rId19" Type="http://schemas.openxmlformats.org/officeDocument/2006/relationships/hyperlink" Target="https://arxiv.org/abs/2601.16199" TargetMode="External"/><Relationship Id="rId14" Type="http://schemas.openxmlformats.org/officeDocument/2006/relationships/hyperlink" Target="https://arxiv.org/abs/2406.05946" TargetMode="External"/><Relationship Id="rId22" Type="http://schemas.openxmlformats.org/officeDocument/2006/relationships/hyperlink" Target="https://www.ndss-symposium.org/wp-content/uploads/2025-449-paper.pdf" TargetMode="External"/><Relationship Id="rId27" Type="http://schemas.openxmlformats.org/officeDocument/2006/relationships/hyperlink" Target="https://arxiv.org/abs/2003.01690" TargetMode="External"/><Relationship Id="rId30" Type="http://schemas.openxmlformats.org/officeDocument/2006/relationships/hyperlink" Target="https://arxiv.org/abs/2403.02691" TargetMode="External"/><Relationship Id="rId35" Type="http://schemas.openxmlformats.org/officeDocument/2006/relationships/hyperlink" Target="https://arxiv.org/abs/2301.13188" TargetMode="External"/><Relationship Id="rId43" Type="http://schemas.openxmlformats.org/officeDocument/2006/relationships/hyperlink" Target="https://arxiv.org/abs/2406.18382" TargetMode="External"/><Relationship Id="rId48" Type="http://schemas.openxmlformats.org/officeDocument/2006/relationships/hyperlink" Target="https://arxiv.org/abs/2411.09776" TargetMode="External"/><Relationship Id="rId56" Type="http://schemas.openxmlformats.org/officeDocument/2006/relationships/hyperlink" Target="https://arxiv.org/abs/2001.06564" TargetMode="External"/><Relationship Id="rId64" Type="http://schemas.openxmlformats.org/officeDocument/2006/relationships/hyperlink" Target="https://dl.acm.org/doi/abs/10.1145/3658644.3670316" TargetMode="External"/><Relationship Id="rId69" Type="http://schemas.openxmlformats.org/officeDocument/2006/relationships/hyperlink" Target="https://arxiv.org/abs/2407.10264" TargetMode="External"/><Relationship Id="rId8" Type="http://schemas.openxmlformats.org/officeDocument/2006/relationships/hyperlink" Target="https://arxiv.org/abs/1812.02766" TargetMode="External"/><Relationship Id="rId51" Type="http://schemas.openxmlformats.org/officeDocument/2006/relationships/hyperlink" Target="https://arxiv.org/abs/2405.15556" TargetMode="External"/><Relationship Id="rId72" Type="http://schemas.openxmlformats.org/officeDocument/2006/relationships/hyperlink" Target="https://uofwaterloo.sharepoint.com/:b:/r/sites/tm-class-cs858fall2026-1288940/Shared%20Documents/General/Presentations/CS858_Lune_Intro.pdf?d=w6a74dcd5d4bf4ec48c16127a4fbd6418&amp;csf=1&amp;web=1&amp;e=FqgAUt" TargetMode="External"/><Relationship Id="rId3" Type="http://schemas.openxmlformats.org/officeDocument/2006/relationships/hyperlink" Target="https://arxiv.org/abs/2012.07805" TargetMode="External"/><Relationship Id="rId12" Type="http://schemas.openxmlformats.org/officeDocument/2006/relationships/hyperlink" Target="https://arxiv.org/abs/1706.06083" TargetMode="External"/><Relationship Id="rId17" Type="http://schemas.openxmlformats.org/officeDocument/2006/relationships/hyperlink" Target="https://arxiv.org/pdf/2204.09649" TargetMode="External"/><Relationship Id="rId25" Type="http://schemas.openxmlformats.org/officeDocument/2006/relationships/hyperlink" Target="https://www.usenix.org/conference/usenixsecurity25/presentation/qu-zkgpt" TargetMode="External"/><Relationship Id="rId33" Type="http://schemas.openxmlformats.org/officeDocument/2006/relationships/hyperlink" Target="https://arxiv.org/abs/2410.05451" TargetMode="External"/><Relationship Id="rId38" Type="http://schemas.openxmlformats.org/officeDocument/2006/relationships/hyperlink" Target="https://arxiv.org/abs/1902.08874" TargetMode="External"/><Relationship Id="rId46" Type="http://schemas.openxmlformats.org/officeDocument/2006/relationships/hyperlink" Target="https://arxiv.org/abs/2304.06607" TargetMode="External"/><Relationship Id="rId59" Type="http://schemas.openxmlformats.org/officeDocument/2006/relationships/hyperlink" Target="https://ieeexplore.ieee.org/stamp/stamp.jsp?arnumber=9582200" TargetMode="External"/><Relationship Id="rId67" Type="http://schemas.openxmlformats.org/officeDocument/2006/relationships/hyperlink" Target="https://arxiv.org/abs/2406.17548" TargetMode="External"/><Relationship Id="rId20" Type="http://schemas.openxmlformats.org/officeDocument/2006/relationships/hyperlink" Target="https://www.usenix.org/conference/usenixsecurity24/presentation/tang" TargetMode="External"/><Relationship Id="rId41" Type="http://schemas.openxmlformats.org/officeDocument/2006/relationships/hyperlink" Target="https://arxiv.org/abs/2401.06121" TargetMode="External"/><Relationship Id="rId54" Type="http://schemas.openxmlformats.org/officeDocument/2006/relationships/hyperlink" Target="https://arxiv.org/abs/2606.03811" TargetMode="External"/><Relationship Id="rId62" Type="http://schemas.openxmlformats.org/officeDocument/2006/relationships/hyperlink" Target="https://arxiv.org/pdf/2510.00554" TargetMode="External"/><Relationship Id="rId70" Type="http://schemas.openxmlformats.org/officeDocument/2006/relationships/hyperlink" Target="https://uofwaterloo.sharepoint.com/:b:/r/sites/tm-class-cs858fall2026-1288940/Shared%20Documents/General/Presentations/CS858_course_introduction-2026.pdf?d=w4f4f0a80995f4713b22cccb2db161241&amp;csf=1&amp;web=1&amp;e=3bvELQ" TargetMode="External"/><Relationship Id="rId1" Type="http://schemas.openxmlformats.org/officeDocument/2006/relationships/hyperlink" Target="https://arxiv.org/abs/2307.02483" TargetMode="External"/><Relationship Id="rId6" Type="http://schemas.openxmlformats.org/officeDocument/2006/relationships/hyperlink" Target="http://people.cs.uchicago.edu/~ravenben/publications/pdf/backdoor-sp19.pdf" TargetMode="External"/><Relationship Id="rId15" Type="http://schemas.openxmlformats.org/officeDocument/2006/relationships/hyperlink" Target="https://arxiv.org/abs/2210.01504" TargetMode="External"/><Relationship Id="rId23" Type="http://schemas.openxmlformats.org/officeDocument/2006/relationships/hyperlink" Target="https://arxiv.org/abs/2204.09649" TargetMode="External"/><Relationship Id="rId28" Type="http://schemas.openxmlformats.org/officeDocument/2006/relationships/hyperlink" Target="https://arxiv.org/abs/2307.15043" TargetMode="External"/><Relationship Id="rId36" Type="http://schemas.openxmlformats.org/officeDocument/2006/relationships/hyperlink" Target="https://arxiv.org/abs/1610.05820" TargetMode="External"/><Relationship Id="rId49" Type="http://schemas.openxmlformats.org/officeDocument/2006/relationships/hyperlink" Target="https://arxiv.org/abs/2404.08144" TargetMode="External"/><Relationship Id="rId57" Type="http://schemas.openxmlformats.org/officeDocument/2006/relationships/hyperlink" Target="https://arxiv.org/abs/2502.17420" TargetMode="External"/><Relationship Id="rId10" Type="http://schemas.openxmlformats.org/officeDocument/2006/relationships/hyperlink" Target="https://arxiv.org/abs/2312.04542" TargetMode="External"/><Relationship Id="rId31" Type="http://schemas.openxmlformats.org/officeDocument/2006/relationships/hyperlink" Target="https://arxiv.org/abs/2310.12815" TargetMode="External"/><Relationship Id="rId44" Type="http://schemas.openxmlformats.org/officeDocument/2006/relationships/hyperlink" Target="https://arxiv.org/abs/1909.01838" TargetMode="External"/><Relationship Id="rId52" Type="http://schemas.openxmlformats.org/officeDocument/2006/relationships/hyperlink" Target="https://arxiv.org/abs/2406.04313" TargetMode="External"/><Relationship Id="rId60" Type="http://schemas.openxmlformats.org/officeDocument/2006/relationships/hyperlink" Target="https://www.usenix.org/system/files/usenixsecurity23-yang-yuchen.pdf" TargetMode="External"/><Relationship Id="rId65" Type="http://schemas.openxmlformats.org/officeDocument/2006/relationships/hyperlink" Target="https://arxiv.org/abs/2011.05905" TargetMode="External"/><Relationship Id="rId73" Type="http://schemas.openxmlformats.org/officeDocument/2006/relationships/printerSettings" Target="../printerSettings/printerSettings1.bin"/><Relationship Id="rId4" Type="http://schemas.openxmlformats.org/officeDocument/2006/relationships/hyperlink" Target="https://arxiv.org/abs/2112.03570" TargetMode="External"/><Relationship Id="rId9" Type="http://schemas.openxmlformats.org/officeDocument/2006/relationships/hyperlink" Target="https://arxiv.org/abs/1906.00830" TargetMode="External"/><Relationship Id="rId13" Type="http://schemas.openxmlformats.org/officeDocument/2006/relationships/hyperlink" Target="https://arxiv.org/abs/2301.10226" TargetMode="External"/><Relationship Id="rId18" Type="http://schemas.openxmlformats.org/officeDocument/2006/relationships/hyperlink" Target="https://arxiv.org/abs/2310.07152" TargetMode="External"/><Relationship Id="rId39" Type="http://schemas.openxmlformats.org/officeDocument/2006/relationships/hyperlink" Target="https://arxiv.org/abs/2110.05679" TargetMode="External"/><Relationship Id="rId34" Type="http://schemas.openxmlformats.org/officeDocument/2006/relationships/hyperlink" Target="https://arxiv.org/abs/2311.17035" TargetMode="External"/><Relationship Id="rId50" Type="http://schemas.openxmlformats.org/officeDocument/2006/relationships/hyperlink" Target="https://arxiv.org/abs/2305.00944" TargetMode="External"/><Relationship Id="rId55" Type="http://schemas.openxmlformats.org/officeDocument/2006/relationships/hyperlink" Target="https://arxiv.org/abs/2502.11598" TargetMode="External"/><Relationship Id="rId7" Type="http://schemas.openxmlformats.org/officeDocument/2006/relationships/hyperlink" Target="https://arxiv.org/abs/2402.07867" TargetMode="External"/><Relationship Id="rId71" Type="http://schemas.openxmlformats.org/officeDocument/2006/relationships/hyperlink" Target="https://uofwaterloo.sharepoint.com/:b:/r/sites/tm-class-cs858fall2026-1288940/Shared%20Documents/General/Presentations/CS858_ml_introduction.pdf?d=wad790504d3a7485fb69a02e3c856e06f&amp;csf=1&amp;web=1&amp;e=F8aRx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3A15C-D0DC-47FD-8A99-442E77104E59}">
  <dimension ref="A1:AB64"/>
  <sheetViews>
    <sheetView tabSelected="1" topLeftCell="D1" zoomScale="119" zoomScaleNormal="168" workbookViewId="0">
      <pane ySplit="1" topLeftCell="A2" activePane="bottomLeft" state="frozen"/>
      <selection pane="bottomLeft" activeCell="D3" sqref="D3"/>
    </sheetView>
  </sheetViews>
  <sheetFormatPr defaultColWidth="8.85546875" defaultRowHeight="15"/>
  <cols>
    <col min="1" max="1" width="8.42578125" style="61" customWidth="1"/>
    <col min="2" max="2" width="7.85546875" style="62" customWidth="1"/>
    <col min="3" max="3" width="85.42578125" style="63" customWidth="1"/>
    <col min="4" max="4" width="31" style="64" customWidth="1"/>
    <col min="5" max="5" width="27.42578125" style="65" customWidth="1"/>
    <col min="6" max="6" width="47.5703125" style="66" customWidth="1"/>
    <col min="7" max="7" width="49.42578125" style="63" customWidth="1"/>
    <col min="8" max="8" width="99.42578125" style="67" customWidth="1"/>
    <col min="9" max="9" width="71.42578125" customWidth="1"/>
  </cols>
  <sheetData>
    <row r="1" spans="1:8" s="13" customFormat="1" ht="17.25" customHeight="1">
      <c r="A1" s="6" t="s">
        <v>0</v>
      </c>
      <c r="B1" s="7"/>
      <c r="C1" s="8"/>
      <c r="D1" s="9"/>
      <c r="E1" s="10"/>
      <c r="F1" s="11"/>
      <c r="G1" s="8"/>
      <c r="H1" s="12"/>
    </row>
    <row r="2" spans="1:8" s="21" customFormat="1" ht="15.75" thickBot="1">
      <c r="A2" s="14" t="s">
        <v>1</v>
      </c>
      <c r="B2" s="15" t="s">
        <v>2</v>
      </c>
      <c r="C2" s="16" t="s">
        <v>3</v>
      </c>
      <c r="D2" s="17" t="s">
        <v>4</v>
      </c>
      <c r="E2" s="18" t="s">
        <v>5</v>
      </c>
      <c r="F2" s="19" t="s">
        <v>6</v>
      </c>
      <c r="G2" s="16" t="s">
        <v>7</v>
      </c>
      <c r="H2" s="20" t="s">
        <v>8</v>
      </c>
    </row>
    <row r="3" spans="1:8" s="25" customFormat="1" ht="32.1" customHeight="1" thickBot="1">
      <c r="A3" s="22">
        <v>46275</v>
      </c>
      <c r="B3" s="144" t="s">
        <v>9</v>
      </c>
      <c r="C3" s="23" t="s">
        <v>10</v>
      </c>
      <c r="D3" s="24" t="s">
        <v>11</v>
      </c>
      <c r="E3" s="144"/>
      <c r="F3" s="147" t="s">
        <v>12</v>
      </c>
      <c r="G3" s="144"/>
      <c r="H3" s="144"/>
    </row>
    <row r="4" spans="1:8" s="25" customFormat="1" ht="32.1" customHeight="1">
      <c r="A4" s="142">
        <v>46280</v>
      </c>
      <c r="B4" s="145"/>
      <c r="C4" s="26" t="s">
        <v>13</v>
      </c>
      <c r="D4" s="27" t="s">
        <v>14</v>
      </c>
      <c r="E4" s="145"/>
      <c r="F4" s="148"/>
      <c r="G4" s="145"/>
      <c r="H4" s="145"/>
    </row>
    <row r="5" spans="1:8" s="25" customFormat="1" ht="32.1" customHeight="1" thickBot="1">
      <c r="A5" s="143"/>
      <c r="B5" s="146"/>
      <c r="C5" s="28" t="s">
        <v>15</v>
      </c>
      <c r="D5" s="29" t="s">
        <v>16</v>
      </c>
      <c r="E5" s="146"/>
      <c r="F5" s="149"/>
      <c r="G5" s="146"/>
      <c r="H5" s="146"/>
    </row>
    <row r="6" spans="1:8" ht="15" customHeight="1" thickBot="1">
      <c r="A6" s="68" t="s">
        <v>17</v>
      </c>
      <c r="B6" s="69"/>
      <c r="C6" s="69"/>
      <c r="D6" s="69"/>
      <c r="E6" s="69"/>
      <c r="F6" s="30"/>
      <c r="G6" s="31"/>
      <c r="H6" s="32"/>
    </row>
    <row r="7" spans="1:8">
      <c r="A7" s="72">
        <f>A3+7</f>
        <v>46282</v>
      </c>
      <c r="B7" s="82">
        <v>1</v>
      </c>
      <c r="C7" s="88" t="s">
        <v>18</v>
      </c>
      <c r="D7" s="119" t="s">
        <v>19</v>
      </c>
      <c r="E7" s="119" t="s">
        <v>20</v>
      </c>
      <c r="F7" s="108" t="s">
        <v>21</v>
      </c>
      <c r="G7" s="105" t="s">
        <v>22</v>
      </c>
      <c r="H7" s="33" t="s">
        <v>23</v>
      </c>
    </row>
    <row r="8" spans="1:8" s="1" customFormat="1">
      <c r="A8" s="73"/>
      <c r="B8" s="83"/>
      <c r="C8" s="89"/>
      <c r="D8" s="120"/>
      <c r="E8" s="120"/>
      <c r="F8" s="109"/>
      <c r="G8" s="160"/>
      <c r="H8" s="34" t="s">
        <v>24</v>
      </c>
    </row>
    <row r="9" spans="1:8" s="1" customFormat="1" ht="15" customHeight="1">
      <c r="A9" s="74">
        <f>A4+7</f>
        <v>46287</v>
      </c>
      <c r="B9" s="79">
        <f>B7+1</f>
        <v>2</v>
      </c>
      <c r="C9" s="90" t="s">
        <v>25</v>
      </c>
      <c r="D9" s="132" t="s">
        <v>26</v>
      </c>
      <c r="E9" s="121" t="s">
        <v>27</v>
      </c>
      <c r="F9" s="109"/>
      <c r="G9" s="106" t="s">
        <v>28</v>
      </c>
      <c r="H9" s="35" t="s">
        <v>29</v>
      </c>
    </row>
    <row r="10" spans="1:8" ht="15" customHeight="1" thickBot="1">
      <c r="A10" s="74"/>
      <c r="B10" s="79"/>
      <c r="C10" s="90"/>
      <c r="D10" s="133"/>
      <c r="E10" s="122"/>
      <c r="F10" s="109"/>
      <c r="G10" s="160"/>
      <c r="H10" s="35" t="s">
        <v>30</v>
      </c>
    </row>
    <row r="11" spans="1:8" ht="15" customHeight="1">
      <c r="A11" s="72">
        <f>A7+7</f>
        <v>46289</v>
      </c>
      <c r="B11" s="80">
        <f>B9+1</f>
        <v>3</v>
      </c>
      <c r="C11" s="91" t="s">
        <v>31</v>
      </c>
      <c r="D11" s="113" t="s">
        <v>20</v>
      </c>
      <c r="E11" s="113" t="s">
        <v>19</v>
      </c>
      <c r="F11" s="109"/>
      <c r="G11" s="106" t="s">
        <v>32</v>
      </c>
      <c r="H11" s="34" t="s">
        <v>33</v>
      </c>
    </row>
    <row r="12" spans="1:8" ht="15" customHeight="1">
      <c r="A12" s="73"/>
      <c r="B12" s="80"/>
      <c r="C12" s="91"/>
      <c r="D12" s="114"/>
      <c r="E12" s="114"/>
      <c r="F12" s="109"/>
      <c r="G12" s="160"/>
      <c r="H12" s="36" t="s">
        <v>34</v>
      </c>
    </row>
    <row r="13" spans="1:8" ht="15" customHeight="1">
      <c r="A13" s="74">
        <f>A9+7</f>
        <v>46294</v>
      </c>
      <c r="B13" s="79">
        <f>B11+1</f>
        <v>4</v>
      </c>
      <c r="C13" s="92" t="s">
        <v>35</v>
      </c>
      <c r="D13" s="121" t="s">
        <v>36</v>
      </c>
      <c r="E13" s="121" t="s">
        <v>37</v>
      </c>
      <c r="F13" s="109"/>
      <c r="G13" s="106" t="s">
        <v>38</v>
      </c>
      <c r="H13" s="35" t="s">
        <v>39</v>
      </c>
    </row>
    <row r="14" spans="1:8" ht="15" customHeight="1" thickBot="1">
      <c r="A14" s="74"/>
      <c r="B14" s="79"/>
      <c r="C14" s="92"/>
      <c r="D14" s="122"/>
      <c r="E14" s="122"/>
      <c r="F14" s="109"/>
      <c r="G14" s="160"/>
      <c r="H14" s="37" t="s">
        <v>40</v>
      </c>
    </row>
    <row r="15" spans="1:8" ht="15" customHeight="1">
      <c r="A15" s="72">
        <f>A11+7</f>
        <v>46296</v>
      </c>
      <c r="B15" s="80">
        <f>B13+1</f>
        <v>5</v>
      </c>
      <c r="C15" s="89" t="s">
        <v>41</v>
      </c>
      <c r="D15" s="113" t="s">
        <v>42</v>
      </c>
      <c r="E15" s="113" t="s">
        <v>26</v>
      </c>
      <c r="F15" s="109" t="s">
        <v>43</v>
      </c>
      <c r="G15" s="107" t="s">
        <v>44</v>
      </c>
      <c r="H15" s="34" t="s">
        <v>45</v>
      </c>
    </row>
    <row r="16" spans="1:8" ht="15" customHeight="1">
      <c r="A16" s="73"/>
      <c r="B16" s="80"/>
      <c r="C16" s="89"/>
      <c r="D16" s="114"/>
      <c r="E16" s="114"/>
      <c r="F16" s="109"/>
      <c r="G16" s="160"/>
      <c r="H16" s="34" t="s">
        <v>46</v>
      </c>
    </row>
    <row r="17" spans="1:8" ht="15" customHeight="1">
      <c r="A17" s="74">
        <f>A13+7</f>
        <v>46301</v>
      </c>
      <c r="B17" s="79">
        <f>B15+1</f>
        <v>6</v>
      </c>
      <c r="C17" s="93" t="s">
        <v>47</v>
      </c>
      <c r="D17" s="121" t="s">
        <v>48</v>
      </c>
      <c r="E17" s="121" t="s">
        <v>49</v>
      </c>
      <c r="F17" s="109"/>
      <c r="G17" s="107" t="s">
        <v>50</v>
      </c>
      <c r="H17" s="38" t="s">
        <v>51</v>
      </c>
    </row>
    <row r="18" spans="1:8" ht="15" customHeight="1" thickBot="1">
      <c r="A18" s="74"/>
      <c r="B18" s="79"/>
      <c r="C18" s="93"/>
      <c r="D18" s="122"/>
      <c r="E18" s="122"/>
      <c r="F18" s="109"/>
      <c r="G18" s="160"/>
      <c r="H18" s="35" t="s">
        <v>52</v>
      </c>
    </row>
    <row r="19" spans="1:8" ht="15" customHeight="1">
      <c r="A19" s="72">
        <f>A15+7</f>
        <v>46303</v>
      </c>
      <c r="B19" s="80">
        <f>B17+1</f>
        <v>7</v>
      </c>
      <c r="C19" s="89" t="s">
        <v>53</v>
      </c>
      <c r="D19" s="113" t="s">
        <v>27</v>
      </c>
      <c r="E19" s="125"/>
      <c r="F19" s="109"/>
      <c r="G19" s="107" t="s">
        <v>54</v>
      </c>
      <c r="H19" s="34" t="s">
        <v>55</v>
      </c>
    </row>
    <row r="20" spans="1:8" ht="15" customHeight="1">
      <c r="A20" s="75"/>
      <c r="B20" s="80"/>
      <c r="C20" s="89"/>
      <c r="D20" s="114"/>
      <c r="E20" s="126"/>
      <c r="F20" s="109"/>
      <c r="G20" s="160"/>
      <c r="H20" s="34" t="s">
        <v>56</v>
      </c>
    </row>
    <row r="21" spans="1:8" s="46" customFormat="1" ht="15" customHeight="1">
      <c r="A21" s="39">
        <f>A17+7</f>
        <v>46308</v>
      </c>
      <c r="B21" s="40"/>
      <c r="C21" s="41" t="s">
        <v>57</v>
      </c>
      <c r="D21" s="42"/>
      <c r="E21" s="43"/>
      <c r="F21" s="109"/>
      <c r="G21" s="44"/>
      <c r="H21" s="45"/>
    </row>
    <row r="22" spans="1:8" s="46" customFormat="1" ht="15" customHeight="1">
      <c r="A22" s="47">
        <f>A19+7</f>
        <v>46310</v>
      </c>
      <c r="B22" s="48"/>
      <c r="C22" s="49" t="s">
        <v>57</v>
      </c>
      <c r="D22" s="42"/>
      <c r="E22" s="43"/>
      <c r="F22" s="109"/>
      <c r="G22" s="44"/>
      <c r="H22" s="45"/>
    </row>
    <row r="23" spans="1:8">
      <c r="A23" s="76">
        <f>A21+7</f>
        <v>46315</v>
      </c>
      <c r="B23" s="79">
        <f>B19+1</f>
        <v>8</v>
      </c>
      <c r="C23" s="92" t="s">
        <v>58</v>
      </c>
      <c r="D23" s="121" t="s">
        <v>49</v>
      </c>
      <c r="E23" s="123" t="s">
        <v>48</v>
      </c>
      <c r="F23" s="109"/>
      <c r="G23" s="106" t="s">
        <v>59</v>
      </c>
      <c r="H23" s="35" t="s">
        <v>60</v>
      </c>
    </row>
    <row r="24" spans="1:8">
      <c r="A24" s="77"/>
      <c r="B24" s="79"/>
      <c r="C24" s="92"/>
      <c r="D24" s="122"/>
      <c r="E24" s="124"/>
      <c r="F24" s="109"/>
      <c r="G24" s="160"/>
      <c r="H24" s="37" t="s">
        <v>61</v>
      </c>
    </row>
    <row r="25" spans="1:8" ht="15" customHeight="1">
      <c r="A25" s="84">
        <f>A22+7</f>
        <v>46317</v>
      </c>
      <c r="B25" s="80">
        <f>B23+1</f>
        <v>9</v>
      </c>
      <c r="C25" s="91" t="s">
        <v>62</v>
      </c>
      <c r="D25" s="113" t="s">
        <v>63</v>
      </c>
      <c r="E25" s="125" t="s">
        <v>64</v>
      </c>
      <c r="F25" s="110" t="s">
        <v>65</v>
      </c>
      <c r="G25" s="106" t="s">
        <v>66</v>
      </c>
      <c r="H25" s="34" t="s">
        <v>67</v>
      </c>
    </row>
    <row r="26" spans="1:8" ht="15" customHeight="1">
      <c r="A26" s="85"/>
      <c r="B26" s="80"/>
      <c r="C26" s="91"/>
      <c r="D26" s="130"/>
      <c r="E26" s="129"/>
      <c r="F26" s="110"/>
      <c r="G26" s="160"/>
      <c r="H26" s="34" t="s">
        <v>68</v>
      </c>
    </row>
    <row r="27" spans="1:8" ht="15" customHeight="1">
      <c r="A27" s="85"/>
      <c r="B27" s="80">
        <f>B25+1</f>
        <v>10</v>
      </c>
      <c r="C27" s="91" t="s">
        <v>69</v>
      </c>
      <c r="D27" s="130"/>
      <c r="E27" s="129"/>
      <c r="F27" s="110"/>
      <c r="G27" s="107" t="s">
        <v>70</v>
      </c>
      <c r="H27" s="35" t="s">
        <v>71</v>
      </c>
    </row>
    <row r="28" spans="1:8" ht="15" customHeight="1">
      <c r="A28" s="86"/>
      <c r="B28" s="80"/>
      <c r="C28" s="91"/>
      <c r="D28" s="114"/>
      <c r="E28" s="126"/>
      <c r="F28" s="110"/>
      <c r="G28" s="160"/>
      <c r="H28" s="2" t="s">
        <v>72</v>
      </c>
    </row>
    <row r="29" spans="1:8" ht="15" customHeight="1">
      <c r="A29" s="74">
        <f>A23+7</f>
        <v>46322</v>
      </c>
      <c r="B29" s="79">
        <f>B27+1</f>
        <v>11</v>
      </c>
      <c r="C29" s="90" t="s">
        <v>73</v>
      </c>
      <c r="D29" s="121" t="s">
        <v>74</v>
      </c>
      <c r="E29" s="123"/>
      <c r="F29" s="110" t="s">
        <v>75</v>
      </c>
      <c r="G29" s="106" t="s">
        <v>76</v>
      </c>
      <c r="H29" s="34" t="s">
        <v>77</v>
      </c>
    </row>
    <row r="30" spans="1:8" ht="15" customHeight="1">
      <c r="A30" s="74"/>
      <c r="B30" s="79"/>
      <c r="C30" s="90"/>
      <c r="D30" s="122"/>
      <c r="E30" s="124"/>
      <c r="F30" s="110"/>
      <c r="G30" s="160"/>
      <c r="H30" s="34" t="s">
        <v>78</v>
      </c>
    </row>
    <row r="31" spans="1:8" ht="15" customHeight="1">
      <c r="A31" s="78">
        <f>A25+7</f>
        <v>46324</v>
      </c>
      <c r="B31" s="80">
        <f>B29+1</f>
        <v>12</v>
      </c>
      <c r="C31" s="91" t="s">
        <v>79</v>
      </c>
      <c r="D31" s="113" t="s">
        <v>36</v>
      </c>
      <c r="E31" s="125" t="s">
        <v>42</v>
      </c>
      <c r="F31" s="110"/>
      <c r="G31" s="106" t="s">
        <v>80</v>
      </c>
      <c r="H31" s="35" t="s">
        <v>81</v>
      </c>
    </row>
    <row r="32" spans="1:8" ht="15" customHeight="1">
      <c r="A32" s="78"/>
      <c r="B32" s="80"/>
      <c r="C32" s="91"/>
      <c r="D32" s="114"/>
      <c r="E32" s="126"/>
      <c r="F32" s="110"/>
      <c r="G32" s="160"/>
      <c r="H32" s="35" t="s">
        <v>82</v>
      </c>
    </row>
    <row r="33" spans="1:28" ht="15" customHeight="1">
      <c r="A33" s="74">
        <f>A29+7</f>
        <v>46329</v>
      </c>
      <c r="B33" s="79">
        <f>B31+1</f>
        <v>13</v>
      </c>
      <c r="C33" s="90" t="s">
        <v>83</v>
      </c>
      <c r="D33" s="121" t="s">
        <v>84</v>
      </c>
      <c r="E33" s="123"/>
      <c r="F33" s="111" t="s">
        <v>85</v>
      </c>
      <c r="G33" s="106" t="s">
        <v>86</v>
      </c>
      <c r="H33" s="3" t="s">
        <v>87</v>
      </c>
    </row>
    <row r="34" spans="1:28" ht="15" customHeight="1">
      <c r="A34" s="74"/>
      <c r="B34" s="79"/>
      <c r="C34" s="90"/>
      <c r="D34" s="122"/>
      <c r="E34" s="124"/>
      <c r="F34" s="111"/>
      <c r="G34" s="106"/>
      <c r="H34" s="3" t="s">
        <v>88</v>
      </c>
    </row>
    <row r="35" spans="1:28" ht="15" customHeight="1">
      <c r="A35" s="78">
        <f>A31+7</f>
        <v>46331</v>
      </c>
      <c r="B35" s="80">
        <f>B33+1</f>
        <v>14</v>
      </c>
      <c r="C35" s="91" t="s">
        <v>89</v>
      </c>
      <c r="D35" s="113" t="s">
        <v>90</v>
      </c>
      <c r="E35" s="125" t="s">
        <v>84</v>
      </c>
      <c r="F35" s="111"/>
      <c r="G35" s="106" t="s">
        <v>91</v>
      </c>
      <c r="H35" s="35" t="s">
        <v>92</v>
      </c>
    </row>
    <row r="36" spans="1:28" ht="15" customHeight="1">
      <c r="A36" s="78"/>
      <c r="B36" s="80"/>
      <c r="C36" s="91"/>
      <c r="D36" s="114"/>
      <c r="E36" s="126"/>
      <c r="F36" s="111"/>
      <c r="G36" s="106"/>
      <c r="H36" s="35" t="s">
        <v>93</v>
      </c>
    </row>
    <row r="37" spans="1:28" ht="15" customHeight="1">
      <c r="A37" s="74">
        <f>A33+7</f>
        <v>46336</v>
      </c>
      <c r="B37" s="79">
        <f>B35+1</f>
        <v>15</v>
      </c>
      <c r="C37" s="92" t="s">
        <v>94</v>
      </c>
      <c r="D37" s="121" t="s">
        <v>64</v>
      </c>
      <c r="E37" s="123" t="s">
        <v>90</v>
      </c>
      <c r="F37" s="111"/>
      <c r="G37" s="106" t="s">
        <v>95</v>
      </c>
      <c r="H37" s="4" t="s">
        <v>96</v>
      </c>
    </row>
    <row r="38" spans="1:28" ht="15" customHeight="1">
      <c r="A38" s="74"/>
      <c r="B38" s="79"/>
      <c r="C38" s="92"/>
      <c r="D38" s="122"/>
      <c r="E38" s="124"/>
      <c r="F38" s="111"/>
      <c r="G38" s="106"/>
      <c r="H38" s="3" t="s">
        <v>97</v>
      </c>
    </row>
    <row r="39" spans="1:28" ht="15" customHeight="1">
      <c r="A39" s="78">
        <f>A35+7</f>
        <v>46338</v>
      </c>
      <c r="B39" s="80">
        <f>B37+1</f>
        <v>16</v>
      </c>
      <c r="C39" s="91" t="s">
        <v>98</v>
      </c>
      <c r="D39" s="125" t="s">
        <v>37</v>
      </c>
      <c r="E39" s="125" t="s">
        <v>63</v>
      </c>
      <c r="F39" s="111"/>
      <c r="G39" s="106" t="s">
        <v>99</v>
      </c>
      <c r="H39" s="35" t="s">
        <v>100</v>
      </c>
    </row>
    <row r="40" spans="1:28" ht="15.75" thickBot="1">
      <c r="A40" s="81"/>
      <c r="B40" s="87"/>
      <c r="C40" s="94"/>
      <c r="D40" s="159"/>
      <c r="E40" s="158"/>
      <c r="F40" s="112"/>
      <c r="G40" s="161"/>
      <c r="H40" s="5" t="s">
        <v>101</v>
      </c>
    </row>
    <row r="41" spans="1:28" ht="15" customHeight="1" thickBot="1">
      <c r="A41" s="70" t="s">
        <v>102</v>
      </c>
      <c r="B41" s="71"/>
      <c r="C41" s="71"/>
      <c r="D41" s="71"/>
      <c r="E41" s="71"/>
      <c r="F41" s="50"/>
      <c r="G41" s="51"/>
      <c r="H41" s="52"/>
      <c r="I41" s="53"/>
      <c r="J41" s="53"/>
      <c r="K41" s="53"/>
      <c r="L41" s="53"/>
      <c r="M41" s="53"/>
      <c r="N41" s="53"/>
      <c r="O41" s="53"/>
      <c r="P41" s="53"/>
      <c r="Q41" s="53"/>
      <c r="R41" s="53"/>
      <c r="S41" s="53"/>
      <c r="T41" s="53"/>
      <c r="U41" s="53"/>
      <c r="V41" s="53"/>
      <c r="W41" s="53"/>
      <c r="X41" s="53"/>
      <c r="Y41" s="53"/>
      <c r="Z41" s="53"/>
      <c r="AA41" s="53"/>
      <c r="AB41" s="53"/>
    </row>
    <row r="42" spans="1:28" ht="15" customHeight="1">
      <c r="A42" s="96">
        <f>A37+7</f>
        <v>46343</v>
      </c>
      <c r="B42" s="95">
        <f>B39+1</f>
        <v>17</v>
      </c>
      <c r="C42" s="97" t="s">
        <v>103</v>
      </c>
      <c r="D42" s="127"/>
      <c r="E42" s="127"/>
      <c r="F42" s="117" t="s">
        <v>104</v>
      </c>
      <c r="G42" s="115" t="s">
        <v>105</v>
      </c>
      <c r="H42" s="152" t="s">
        <v>106</v>
      </c>
      <c r="I42" s="53"/>
      <c r="J42" s="53"/>
      <c r="K42" s="53"/>
      <c r="L42" s="53"/>
      <c r="M42" s="53"/>
      <c r="N42" s="53"/>
      <c r="O42" s="53"/>
      <c r="P42" s="53"/>
      <c r="Q42" s="53"/>
      <c r="R42" s="53"/>
      <c r="S42" s="53"/>
      <c r="T42" s="53"/>
      <c r="U42" s="53"/>
      <c r="V42" s="53"/>
      <c r="W42" s="53"/>
      <c r="X42" s="53"/>
      <c r="Y42" s="53"/>
      <c r="Z42" s="53"/>
      <c r="AA42" s="53"/>
      <c r="AB42" s="53"/>
    </row>
    <row r="43" spans="1:28" ht="15" customHeight="1">
      <c r="A43" s="74"/>
      <c r="B43" s="79"/>
      <c r="C43" s="98"/>
      <c r="D43" s="128"/>
      <c r="E43" s="128"/>
      <c r="F43" s="118"/>
      <c r="G43" s="116"/>
      <c r="H43" s="153"/>
    </row>
    <row r="44" spans="1:28" ht="15" customHeight="1">
      <c r="A44" s="78">
        <f>A39+7</f>
        <v>46345</v>
      </c>
      <c r="B44" s="80">
        <f>B42+1</f>
        <v>18</v>
      </c>
      <c r="C44" s="99" t="s">
        <v>107</v>
      </c>
      <c r="D44" s="134"/>
      <c r="E44" s="136" t="s">
        <v>108</v>
      </c>
      <c r="F44" s="118"/>
      <c r="G44" s="106" t="s">
        <v>109</v>
      </c>
      <c r="H44" s="154" t="s">
        <v>110</v>
      </c>
    </row>
    <row r="45" spans="1:28" ht="15" customHeight="1">
      <c r="A45" s="78"/>
      <c r="B45" s="80"/>
      <c r="C45" s="99"/>
      <c r="D45" s="135"/>
      <c r="E45" s="137"/>
      <c r="F45" s="118"/>
      <c r="G45" s="106"/>
      <c r="H45" s="155"/>
    </row>
    <row r="46" spans="1:28" ht="15" customHeight="1">
      <c r="A46" s="74">
        <f>A42+7</f>
        <v>46350</v>
      </c>
      <c r="B46" s="79">
        <f>B44+1</f>
        <v>19</v>
      </c>
      <c r="C46" s="100" t="s">
        <v>111</v>
      </c>
      <c r="D46" s="140"/>
      <c r="E46" s="138"/>
      <c r="F46" s="111" t="s">
        <v>112</v>
      </c>
      <c r="G46" s="106" t="s">
        <v>105</v>
      </c>
      <c r="H46" s="3" t="s">
        <v>113</v>
      </c>
    </row>
    <row r="47" spans="1:28" ht="15" customHeight="1">
      <c r="A47" s="74"/>
      <c r="B47" s="79"/>
      <c r="C47" s="100"/>
      <c r="D47" s="141"/>
      <c r="E47" s="139"/>
      <c r="F47" s="111"/>
      <c r="G47" s="106"/>
      <c r="H47" s="3" t="s">
        <v>114</v>
      </c>
    </row>
    <row r="48" spans="1:28" ht="15" customHeight="1">
      <c r="A48" s="78">
        <f>A44+7</f>
        <v>46352</v>
      </c>
      <c r="B48" s="80">
        <f>B46+1</f>
        <v>20</v>
      </c>
      <c r="C48" s="101" t="s">
        <v>115</v>
      </c>
      <c r="D48" s="134"/>
      <c r="E48" s="136"/>
      <c r="F48" s="111"/>
      <c r="G48" s="106" t="s">
        <v>109</v>
      </c>
      <c r="H48" s="154" t="s">
        <v>116</v>
      </c>
    </row>
    <row r="49" spans="1:8" ht="15" customHeight="1" thickBot="1">
      <c r="A49" s="78"/>
      <c r="B49" s="80"/>
      <c r="C49" s="101"/>
      <c r="D49" s="135"/>
      <c r="E49" s="137"/>
      <c r="F49" s="111"/>
      <c r="G49" s="106"/>
      <c r="H49" s="155"/>
    </row>
    <row r="50" spans="1:8" ht="15" customHeight="1">
      <c r="A50" s="74">
        <f>A46+7</f>
        <v>46357</v>
      </c>
      <c r="B50" s="79">
        <f>B48+1</f>
        <v>21</v>
      </c>
      <c r="C50" s="100" t="s">
        <v>117</v>
      </c>
      <c r="D50" s="140" t="s">
        <v>108</v>
      </c>
      <c r="E50" s="138" t="s">
        <v>74</v>
      </c>
      <c r="F50" s="110" t="s">
        <v>118</v>
      </c>
      <c r="G50" s="106" t="s">
        <v>105</v>
      </c>
      <c r="H50" s="152" t="s">
        <v>119</v>
      </c>
    </row>
    <row r="51" spans="1:8">
      <c r="A51" s="74"/>
      <c r="B51" s="79"/>
      <c r="C51" s="100"/>
      <c r="D51" s="141"/>
      <c r="E51" s="139"/>
      <c r="F51" s="110"/>
      <c r="G51" s="106"/>
      <c r="H51" s="153"/>
    </row>
    <row r="52" spans="1:8">
      <c r="A52" s="78">
        <f>A48+7</f>
        <v>46359</v>
      </c>
      <c r="B52" s="80">
        <f>B50+1</f>
        <v>22</v>
      </c>
      <c r="C52" s="99" t="s">
        <v>120</v>
      </c>
      <c r="D52" s="134"/>
      <c r="E52" s="136"/>
      <c r="F52" s="110"/>
      <c r="G52" s="106" t="s">
        <v>109</v>
      </c>
      <c r="H52" s="154" t="s">
        <v>121</v>
      </c>
    </row>
    <row r="53" spans="1:8" ht="15" customHeight="1">
      <c r="A53" s="78"/>
      <c r="B53" s="80"/>
      <c r="C53" s="99"/>
      <c r="D53" s="135"/>
      <c r="E53" s="137"/>
      <c r="F53" s="110"/>
      <c r="G53" s="106"/>
      <c r="H53" s="155"/>
    </row>
    <row r="54" spans="1:8" ht="15" customHeight="1">
      <c r="A54" s="74">
        <f>A50+7</f>
        <v>46364</v>
      </c>
      <c r="B54" s="79">
        <f>B52+1</f>
        <v>23</v>
      </c>
      <c r="C54" s="98" t="s">
        <v>122</v>
      </c>
      <c r="D54" s="140"/>
      <c r="E54" s="138"/>
      <c r="F54" s="103" t="s">
        <v>123</v>
      </c>
      <c r="G54" s="107" t="s">
        <v>105</v>
      </c>
      <c r="H54" s="3" t="s">
        <v>124</v>
      </c>
    </row>
    <row r="55" spans="1:8" ht="15" customHeight="1">
      <c r="A55" s="74"/>
      <c r="B55" s="79"/>
      <c r="C55" s="98"/>
      <c r="D55" s="141"/>
      <c r="E55" s="139"/>
      <c r="F55" s="103"/>
      <c r="G55" s="116"/>
      <c r="H55" s="3" t="s">
        <v>125</v>
      </c>
    </row>
    <row r="56" spans="1:8" ht="15" customHeight="1">
      <c r="A56" s="150"/>
      <c r="B56" s="80">
        <f>B54+1</f>
        <v>24</v>
      </c>
      <c r="C56" s="99" t="s">
        <v>126</v>
      </c>
      <c r="D56" s="134"/>
      <c r="E56" s="136"/>
      <c r="F56" s="103"/>
      <c r="G56" s="107" t="s">
        <v>109</v>
      </c>
      <c r="H56" s="35" t="s">
        <v>127</v>
      </c>
    </row>
    <row r="57" spans="1:8" ht="15" customHeight="1" thickBot="1">
      <c r="A57" s="151"/>
      <c r="B57" s="87"/>
      <c r="C57" s="102"/>
      <c r="D57" s="156"/>
      <c r="E57" s="157"/>
      <c r="F57" s="104"/>
      <c r="G57" s="131"/>
      <c r="H57" s="35" t="s">
        <v>128</v>
      </c>
    </row>
    <row r="58" spans="1:8">
      <c r="A58" s="54"/>
      <c r="B58" s="55"/>
      <c r="C58" s="56"/>
      <c r="D58" s="57"/>
      <c r="E58" s="58"/>
      <c r="F58" s="59"/>
      <c r="G58" s="56"/>
      <c r="H58" s="60"/>
    </row>
    <row r="64" spans="1:8">
      <c r="F64" s="66" t="s">
        <v>129</v>
      </c>
    </row>
  </sheetData>
  <sheetProtection sheet="1" objects="1" scenarios="1"/>
  <mergeCells count="163">
    <mergeCell ref="A4:A5"/>
    <mergeCell ref="E3:E5"/>
    <mergeCell ref="F3:F5"/>
    <mergeCell ref="G3:G5"/>
    <mergeCell ref="H3:H5"/>
    <mergeCell ref="B3:B5"/>
    <mergeCell ref="A56:A57"/>
    <mergeCell ref="H42:H43"/>
    <mergeCell ref="H44:H45"/>
    <mergeCell ref="H48:H49"/>
    <mergeCell ref="H50:H51"/>
    <mergeCell ref="H52:H53"/>
    <mergeCell ref="E50:E51"/>
    <mergeCell ref="E48:E49"/>
    <mergeCell ref="D52:D53"/>
    <mergeCell ref="D50:D51"/>
    <mergeCell ref="D48:D49"/>
    <mergeCell ref="D56:D57"/>
    <mergeCell ref="D54:D55"/>
    <mergeCell ref="E56:E57"/>
    <mergeCell ref="E54:E55"/>
    <mergeCell ref="E52:E53"/>
    <mergeCell ref="E39:E40"/>
    <mergeCell ref="D39:D40"/>
    <mergeCell ref="G54:G55"/>
    <mergeCell ref="G56:G57"/>
    <mergeCell ref="D7:D8"/>
    <mergeCell ref="D9:D10"/>
    <mergeCell ref="D13:D14"/>
    <mergeCell ref="D11:D12"/>
    <mergeCell ref="D23:D24"/>
    <mergeCell ref="E23:E24"/>
    <mergeCell ref="E19:E20"/>
    <mergeCell ref="D19:D20"/>
    <mergeCell ref="D17:D18"/>
    <mergeCell ref="E17:E18"/>
    <mergeCell ref="G44:G45"/>
    <mergeCell ref="G46:G47"/>
    <mergeCell ref="G48:G49"/>
    <mergeCell ref="D44:D45"/>
    <mergeCell ref="E44:E45"/>
    <mergeCell ref="E42:E43"/>
    <mergeCell ref="D37:D38"/>
    <mergeCell ref="E37:E38"/>
    <mergeCell ref="E46:E47"/>
    <mergeCell ref="D46:D47"/>
    <mergeCell ref="D15:D16"/>
    <mergeCell ref="G42:G43"/>
    <mergeCell ref="F42:F45"/>
    <mergeCell ref="F46:F49"/>
    <mergeCell ref="F50:F53"/>
    <mergeCell ref="E7:E8"/>
    <mergeCell ref="E9:E10"/>
    <mergeCell ref="E11:E12"/>
    <mergeCell ref="E13:E14"/>
    <mergeCell ref="E15:E16"/>
    <mergeCell ref="E29:E30"/>
    <mergeCell ref="D29:D30"/>
    <mergeCell ref="D35:D36"/>
    <mergeCell ref="E35:E36"/>
    <mergeCell ref="E33:E34"/>
    <mergeCell ref="D33:D34"/>
    <mergeCell ref="D31:D32"/>
    <mergeCell ref="E31:E32"/>
    <mergeCell ref="D42:D43"/>
    <mergeCell ref="E25:E28"/>
    <mergeCell ref="D25:D28"/>
    <mergeCell ref="F54:F57"/>
    <mergeCell ref="G7:G8"/>
    <mergeCell ref="G9:G10"/>
    <mergeCell ref="G11:G12"/>
    <mergeCell ref="G13:G14"/>
    <mergeCell ref="G15:G16"/>
    <mergeCell ref="G17:G18"/>
    <mergeCell ref="G19:G20"/>
    <mergeCell ref="G23:G24"/>
    <mergeCell ref="G25:G26"/>
    <mergeCell ref="G27:G28"/>
    <mergeCell ref="G29:G30"/>
    <mergeCell ref="G31:G32"/>
    <mergeCell ref="F7:F14"/>
    <mergeCell ref="F15:F24"/>
    <mergeCell ref="F25:F28"/>
    <mergeCell ref="F29:F32"/>
    <mergeCell ref="F33:F40"/>
    <mergeCell ref="G50:G51"/>
    <mergeCell ref="G52:G53"/>
    <mergeCell ref="G33:G34"/>
    <mergeCell ref="G35:G36"/>
    <mergeCell ref="G37:G38"/>
    <mergeCell ref="G39:G40"/>
    <mergeCell ref="B56:B57"/>
    <mergeCell ref="C42:C43"/>
    <mergeCell ref="C44:C45"/>
    <mergeCell ref="C46:C47"/>
    <mergeCell ref="C48:C49"/>
    <mergeCell ref="C50:C51"/>
    <mergeCell ref="C52:C53"/>
    <mergeCell ref="C54:C55"/>
    <mergeCell ref="C56:C57"/>
    <mergeCell ref="A52:A53"/>
    <mergeCell ref="A54:A55"/>
    <mergeCell ref="B42:B43"/>
    <mergeCell ref="B44:B45"/>
    <mergeCell ref="B46:B47"/>
    <mergeCell ref="B48:B49"/>
    <mergeCell ref="B50:B51"/>
    <mergeCell ref="B52:B53"/>
    <mergeCell ref="B54:B55"/>
    <mergeCell ref="A46:A47"/>
    <mergeCell ref="A42:A43"/>
    <mergeCell ref="A44:A45"/>
    <mergeCell ref="C27:C28"/>
    <mergeCell ref="C29:C30"/>
    <mergeCell ref="C31:C32"/>
    <mergeCell ref="C33:C34"/>
    <mergeCell ref="C35:C36"/>
    <mergeCell ref="C37:C38"/>
    <mergeCell ref="C39:C40"/>
    <mergeCell ref="A48:A49"/>
    <mergeCell ref="A50:A51"/>
    <mergeCell ref="C7:C8"/>
    <mergeCell ref="C9:C10"/>
    <mergeCell ref="C11:C12"/>
    <mergeCell ref="C13:C14"/>
    <mergeCell ref="C15:C16"/>
    <mergeCell ref="C17:C18"/>
    <mergeCell ref="C19:C20"/>
    <mergeCell ref="C23:C24"/>
    <mergeCell ref="C25:C26"/>
    <mergeCell ref="B23:B24"/>
    <mergeCell ref="B25:B26"/>
    <mergeCell ref="B27:B28"/>
    <mergeCell ref="B29:B30"/>
    <mergeCell ref="B31:B32"/>
    <mergeCell ref="B33:B34"/>
    <mergeCell ref="B35:B36"/>
    <mergeCell ref="B37:B38"/>
    <mergeCell ref="B39:B40"/>
    <mergeCell ref="A6:E6"/>
    <mergeCell ref="A41:E41"/>
    <mergeCell ref="A7:A8"/>
    <mergeCell ref="A9:A10"/>
    <mergeCell ref="A11:A12"/>
    <mergeCell ref="A13:A14"/>
    <mergeCell ref="A15:A16"/>
    <mergeCell ref="A17:A18"/>
    <mergeCell ref="A19:A20"/>
    <mergeCell ref="A23:A24"/>
    <mergeCell ref="A29:A30"/>
    <mergeCell ref="A31:A32"/>
    <mergeCell ref="A33:A34"/>
    <mergeCell ref="A35:A36"/>
    <mergeCell ref="B9:B10"/>
    <mergeCell ref="B11:B12"/>
    <mergeCell ref="B13:B14"/>
    <mergeCell ref="B15:B16"/>
    <mergeCell ref="A37:A38"/>
    <mergeCell ref="A39:A40"/>
    <mergeCell ref="B7:B8"/>
    <mergeCell ref="A25:A28"/>
    <mergeCell ref="B17:B18"/>
    <mergeCell ref="B19:B20"/>
  </mergeCells>
  <hyperlinks>
    <hyperlink ref="C9" r:id="rId1" xr:uid="{C940CE3F-3C87-434D-8EF7-132D3F676478}"/>
    <hyperlink ref="C11" r:id="rId2" xr:uid="{9A28520D-7696-414E-8AE0-1C1E33BD479B}"/>
    <hyperlink ref="C17" r:id="rId3" xr:uid="{4D52253D-8E90-6249-915C-4984891D82CA}"/>
    <hyperlink ref="C15" r:id="rId4" xr:uid="{D68BD8B7-ECA5-6E44-9FBB-4961D8876F3F}"/>
    <hyperlink ref="C19" r:id="rId5" xr:uid="{C1CE6575-778B-E244-BBB3-702F9DDE260C}"/>
    <hyperlink ref="C29" r:id="rId6" xr:uid="{D4DC6BFB-718B-C04D-B27C-EE4B75A3B0F4}"/>
    <hyperlink ref="C31" r:id="rId7" xr:uid="{FABB81FE-BEF1-C74A-8B3A-49E55AFDDC94}"/>
    <hyperlink ref="C25" r:id="rId8" xr:uid="{94AAD255-5567-8549-874A-4CEEEB091E4F}"/>
    <hyperlink ref="C27" r:id="rId9" xr:uid="{3E7B5A05-DF32-9142-BE58-1FD905AA584A}"/>
    <hyperlink ref="C35" r:id="rId10" xr:uid="{7102239A-DC59-5748-9FB6-4FC7548437F1}"/>
    <hyperlink ref="C39" r:id="rId11" xr:uid="{B6D6428E-D551-D644-84D0-B43981276A99}"/>
    <hyperlink ref="C7" r:id="rId12" xr:uid="{13A69D9A-5A3E-8C47-ABE3-9588EB746B3C}"/>
    <hyperlink ref="C37" r:id="rId13" xr:uid="{B2ACE8FD-6737-D343-947F-F703A0CEBCEB}"/>
    <hyperlink ref="C13" r:id="rId14" xr:uid="{39189F37-91D7-8042-A9ED-AF52AFBB6195}"/>
    <hyperlink ref="C23" r:id="rId15" xr:uid="{8E034496-6FB8-394D-B301-800F8FAFDDB9}"/>
    <hyperlink ref="C42" r:id="rId16" xr:uid="{E3868BB2-5BF3-DA48-8ED6-E3093EAADCFC}"/>
    <hyperlink ref="C44" r:id="rId17" xr:uid="{F7B3C0C9-3AA7-EE4E-AA31-F213161C0834}"/>
    <hyperlink ref="C48" r:id="rId18" xr:uid="{9D0518A6-3EAE-EA41-97AD-A78E796B798B}"/>
    <hyperlink ref="C56" r:id="rId19" xr:uid="{44ACC118-FF57-F14F-A6B3-73A9ABA9E8DE}"/>
    <hyperlink ref="C50" r:id="rId20" xr:uid="{F98E4659-B54F-7E47-BC1B-E34357027FEF}"/>
    <hyperlink ref="C46" r:id="rId21" xr:uid="{E51E4970-0527-EA49-8D3B-B137FB269623}"/>
    <hyperlink ref="C52" r:id="rId22" xr:uid="{211E6AA5-6258-624D-9B5D-B647521383DC}"/>
    <hyperlink ref="C44:C45" r:id="rId23" display="BliMe: Verifiably Secure Outsourced Computation with Hardware-Enforced Taint Tracking" xr:uid="{AD598199-7973-624E-A444-F088F3003B97}"/>
    <hyperlink ref="C52:C53" r:id="rId24" display="ASGARD: Protecting On-Device Deep Neural Networks with Virtualization-Based Trusted Execution Environments" xr:uid="{0605B254-2664-0046-AA66-CFDAFF7D8171}"/>
    <hyperlink ref="C54:C55" r:id="rId25" display="zkGPT: An Efficient Non-interactive Zero-knowledge Proof Framework for LLM Inference" xr:uid="{2CBC5993-B882-1045-8037-11432C768F5D}"/>
    <hyperlink ref="H7" r:id="rId26" xr:uid="{9A9FED9C-C4AF-E747-83B6-16F68784C036}"/>
    <hyperlink ref="H8" r:id="rId27" xr:uid="{B7E83485-DC0E-6147-ADA3-8F98BF91F653}"/>
    <hyperlink ref="H9" r:id="rId28" xr:uid="{4740B759-B393-6A46-8387-B3645B3F09CA}"/>
    <hyperlink ref="H10" r:id="rId29" xr:uid="{5FBDB623-CC0C-8B47-9C13-3868F6006AC2}"/>
    <hyperlink ref="H11" r:id="rId30" xr:uid="{7935DD78-0796-5B42-9494-268E7EEE1D15}"/>
    <hyperlink ref="H12" r:id="rId31" xr:uid="{BAE663FA-903B-3F4C-9492-A550C94E41C4}"/>
    <hyperlink ref="H13" r:id="rId32" xr:uid="{C98F25F0-54F5-0749-88BC-35BAE3412D66}"/>
    <hyperlink ref="H14" r:id="rId33" xr:uid="{53CE7BAB-78B6-204B-9541-A890DBA6B9C1}"/>
    <hyperlink ref="H17" r:id="rId34" xr:uid="{44B914BA-7FFF-C541-A7DB-38E6E6DD16F2}"/>
    <hyperlink ref="H18" r:id="rId35" xr:uid="{81308B1D-459F-1E48-B858-4646704F69D7}"/>
    <hyperlink ref="H15" r:id="rId36" xr:uid="{0CDCF4A0-6243-9643-B02C-C833702488E5}"/>
    <hyperlink ref="H16" r:id="rId37" xr:uid="{70C8405B-EB92-6E40-82AD-0D5633FC1767}"/>
    <hyperlink ref="H19" r:id="rId38" xr:uid="{26703BDB-2904-CD4D-B5B9-8917614CF3A5}"/>
    <hyperlink ref="H20" r:id="rId39" xr:uid="{55CE13A2-C9A0-814D-81C3-5D851DAC77EE}"/>
    <hyperlink ref="H23" r:id="rId40" xr:uid="{B1DA79FB-049A-8C46-B3E0-BBCECB3BBF5C}"/>
    <hyperlink ref="H24" r:id="rId41" xr:uid="{5AE466A8-56ED-E944-BDE0-1D070C53C1F6}"/>
    <hyperlink ref="H29" r:id="rId42" xr:uid="{126F9087-7730-A044-BEE1-8DF006DDE3C9}"/>
    <hyperlink ref="H31" r:id="rId43" xr:uid="{55035D35-73D7-E74C-8549-EA5F59815121}"/>
    <hyperlink ref="H25" r:id="rId44" xr:uid="{1C4F4045-1F1E-024B-8BE5-E969038B601D}"/>
    <hyperlink ref="H26" r:id="rId45" xr:uid="{EB6197E8-D7A9-E24A-B1C7-CC3D2FF84E29}"/>
    <hyperlink ref="H27" r:id="rId46" xr:uid="{6FA24499-5A54-F048-85E3-DF003E9282AC}"/>
    <hyperlink ref="H35" r:id="rId47" xr:uid="{E053D65A-F6EF-3A46-944E-B96B1ADF9157}"/>
    <hyperlink ref="H36" r:id="rId48" xr:uid="{BF583A5F-31AA-5F4A-ADD6-4A013F2F3563}"/>
    <hyperlink ref="H39" r:id="rId49" xr:uid="{76E12410-FD37-4B44-8C7A-1EE40A01226F}"/>
    <hyperlink ref="H30" r:id="rId50" xr:uid="{8757C2BC-A3E1-FD4E-8451-798C75CF8209}"/>
    <hyperlink ref="H32" r:id="rId51" xr:uid="{AB67E9CA-3568-3143-8907-AFF1A82A4095}"/>
    <hyperlink ref="H34" r:id="rId52" xr:uid="{5BC2E420-81B8-E441-AA04-0EB9DC00579B}"/>
    <hyperlink ref="H37" r:id="rId53" xr:uid="{EC50E973-3411-0247-BEAF-4A681050C7D3}"/>
    <hyperlink ref="H40" r:id="rId54" xr:uid="{7A221CA1-1980-1549-9AE4-3E1579409805}"/>
    <hyperlink ref="H28" r:id="rId55" xr:uid="{4FC95507-913E-9E40-B18C-5D7F783443A5}"/>
    <hyperlink ref="H38" r:id="rId56" xr:uid="{B09E4175-A429-2B4E-91A6-521A3BF3EB13}"/>
    <hyperlink ref="H33" r:id="rId57" xr:uid="{0AD69A84-3F6F-0142-A05C-7C1807E84647}"/>
    <hyperlink ref="H42" r:id="rId58" xr:uid="{E2881C1B-9753-364D-8108-52EDACAE3BAC}"/>
    <hyperlink ref="H44" r:id="rId59" xr:uid="{756483F0-A809-A14E-96BE-274167CBE205}"/>
    <hyperlink ref="H46" r:id="rId60" xr:uid="{30405E83-B078-4B41-A27A-0A90EB1B5D0C}"/>
    <hyperlink ref="H48" r:id="rId61" xr:uid="{2C27F388-698E-604C-A2CD-2E94A47FD206}"/>
    <hyperlink ref="H57" r:id="rId62" xr:uid="{72CA87F9-F517-6340-A245-9A39AC27D012}"/>
    <hyperlink ref="H54" r:id="rId63" xr:uid="{5A415F4E-3433-1947-85F0-FC80701C095C}"/>
    <hyperlink ref="H55" r:id="rId64" xr:uid="{CD1B5A2B-1F50-344A-8971-80D779DE7F6B}"/>
    <hyperlink ref="H52" r:id="rId65" xr:uid="{258D739D-5EBC-7B4F-8075-749BDABD0637}"/>
    <hyperlink ref="H50" r:id="rId66" xr:uid="{BE87E1CD-30F3-A747-9498-DD2D8778E371}"/>
    <hyperlink ref="H56" r:id="rId67" xr:uid="{F5EB495C-78E6-6540-8F15-EFC0AA0785F7}"/>
    <hyperlink ref="H47" r:id="rId68" xr:uid="{EDA016A7-6A29-CC48-91F2-39D2D157FC00}"/>
    <hyperlink ref="C33:C34" r:id="rId69" display="What Makes and Breaks Safety Fine-tuning? A Mechanistic Study" xr:uid="{C8EA3E63-B61A-2440-9367-B9AEE52AF928}"/>
    <hyperlink ref="D3:D4" r:id="rId70" display="N. Asokan" xr:uid="{C319D1F2-6DEB-4E54-AC79-1E21AD6A1A0E}"/>
    <hyperlink ref="D4" r:id="rId71" xr:uid="{8AADAC67-400F-DC42-85EA-6744678417EA}"/>
    <hyperlink ref="D5" r:id="rId72" xr:uid="{E3CE1A45-0B58-4F3F-91B6-A2A1F77F5D1C}"/>
  </hyperlinks>
  <pageMargins left="0.7" right="0.7" top="0.75" bottom="0.75" header="0.3" footer="0.3"/>
  <pageSetup orientation="portrait" r:id="rId7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4B48552401AAF4281D353952F15CDBB" ma:contentTypeVersion="3" ma:contentTypeDescription="Create a new document." ma:contentTypeScope="" ma:versionID="212e3f58940303047b88f7c4b84a4ea8">
  <xsd:schema xmlns:xsd="http://www.w3.org/2001/XMLSchema" xmlns:xs="http://www.w3.org/2001/XMLSchema" xmlns:p="http://schemas.microsoft.com/office/2006/metadata/properties" xmlns:ns2="26bb1b7a-ec03-4016-8c6f-b05ccbd3b3c0" targetNamespace="http://schemas.microsoft.com/office/2006/metadata/properties" ma:root="true" ma:fieldsID="ac465eae872c0df8c7f226d06b807ec2" ns2:_="">
    <xsd:import namespace="26bb1b7a-ec03-4016-8c6f-b05ccbd3b3c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bb1b7a-ec03-4016-8c6f-b05ccbd3b3c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7E9C71E-35E5-4A13-9E95-7A6DBC891387}"/>
</file>

<file path=customXml/itemProps2.xml><?xml version="1.0" encoding="utf-8"?>
<ds:datastoreItem xmlns:ds="http://schemas.openxmlformats.org/officeDocument/2006/customXml" ds:itemID="{1D49887C-00D0-44FC-ADE9-C36AB5C79C9F}"/>
</file>

<file path=customXml/itemProps3.xml><?xml version="1.0" encoding="utf-8"?>
<ds:datastoreItem xmlns:ds="http://schemas.openxmlformats.org/officeDocument/2006/customXml" ds:itemID="{1345B1F8-DC6F-4860-BF45-BE6032F54597}"/>
</file>

<file path=docMetadata/LabelInfo.xml><?xml version="1.0" encoding="utf-8"?>
<clbl:labelList xmlns:clbl="http://schemas.microsoft.com/office/2020/mipLabelMetadata">
  <clbl:label id="{a9ee03e0-b78c-4998-8bf4-79b266b85105}" enabled="1" method="Standard" siteId="{723a5a87-f39a-4a22-9247-3fc240c01396}"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Adam Caulfield</dc:creator>
  <cp:keywords/>
  <dc:description/>
  <cp:lastModifiedBy>Prach Chantasantitam</cp:lastModifiedBy>
  <cp:revision/>
  <dcterms:created xsi:type="dcterms:W3CDTF">2025-07-13T18:54:44Z</dcterms:created>
  <dcterms:modified xsi:type="dcterms:W3CDTF">2026-09-15T15:42:54Z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0x01010044B48552401AAF4281D353952F15CDBB</vt:lpwstr>
  </property>
</Properties>
</file>